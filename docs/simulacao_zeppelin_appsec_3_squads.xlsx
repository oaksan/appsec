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Squad A" sheetId="2" state="visible" r:id="rId2"/>
    <sheet xmlns:r="http://schemas.openxmlformats.org/officeDocument/2006/relationships" name="Squad B" sheetId="3" state="visible" r:id="rId3"/>
    <sheet xmlns:r="http://schemas.openxmlformats.org/officeDocument/2006/relationships" name="Squad 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D9D9D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DCE4"/>
        <bgColor rgb="00D6DCE4"/>
      </patternFill>
    </fill>
    <fill>
      <patternFill patternType="solid">
        <fgColor rgb="00DCE6F1"/>
        <bgColor rgb="00DCE6F1"/>
      </patternFill>
    </fill>
    <fill>
      <patternFill patternType="solid">
        <fgColor rgb="00F9FBFD"/>
        <bgColor rgb="00F9FBFD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medium">
        <color rgb="001B365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pivotButton="0" quotePrefix="0" xfId="0"/>
    <xf numFmtId="2" fontId="4" fillId="5" borderId="2" applyAlignment="1" pivotButton="0" quotePrefix="0" xfId="0">
      <alignment horizontal="right" vertical="center"/>
    </xf>
    <xf numFmtId="0" fontId="5" fillId="6" borderId="3" pivotButton="0" quotePrefix="0" xfId="0"/>
    <xf numFmtId="2" fontId="5" fillId="6" borderId="3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164" fontId="5" fillId="6" borderId="3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0" fillId="6" borderId="3" pivotButton="0" quotePrefix="0" xfId="0"/>
    <xf numFmtId="2" fontId="5" fillId="6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SIMULAÇÃO DE RESULTADOS ZEPPELIN-APPSEC (3 SQUADS - MODELO PURDUE)</t>
        </is>
      </c>
    </row>
    <row r="2">
      <c r="A2" s="2" t="inlineStr">
        <is>
          <t>Diagnóstico por Equipe (1 Avaliação por Squad | Escala Oficial Zeppelin: AL0 a AL4)</t>
        </is>
      </c>
    </row>
    <row r="3"/>
    <row r="4">
      <c r="A4" s="3" t="inlineStr">
        <is>
          <t>1. COMPARATIVO DE MATURIDADE POR DIMENSÃO SMAF (MÉDIA DOS PESOS DE ADOÇÃO: 0,0 a 1,0)</t>
        </is>
      </c>
    </row>
    <row r="5">
      <c r="A5" s="4" t="inlineStr">
        <is>
          <t>Dimensão SMAF</t>
        </is>
      </c>
      <c r="B5" s="4" t="inlineStr">
        <is>
          <t>Squad A (Nível 2 OT)</t>
        </is>
      </c>
      <c r="C5" s="4" t="inlineStr">
        <is>
          <t>Squad B (Nível 3 MES)</t>
        </is>
      </c>
      <c r="D5" s="4" t="inlineStr">
        <is>
          <t>Squad C (Nível 4 ERP)</t>
        </is>
      </c>
      <c r="E5" s="4" t="inlineStr">
        <is>
          <t>Média Geral</t>
        </is>
      </c>
    </row>
    <row r="6">
      <c r="A6" s="5" t="inlineStr">
        <is>
          <t>Governança</t>
        </is>
      </c>
      <c r="B6" s="6">
        <f>AVERAGEIFS('Squad A'!$E$4:$E$43, 'Squad A'!$C$4:$C$43, A6)</f>
        <v/>
      </c>
      <c r="C6" s="6">
        <f>AVERAGEIFS('Squad B'!$E$4:$E$43, 'Squad B'!$C$4:$C$43, A6)</f>
        <v/>
      </c>
      <c r="D6" s="6">
        <f>AVERAGEIFS('Squad C'!$E$4:$E$43, 'Squad C'!$C$4:$C$43, A6)</f>
        <v/>
      </c>
      <c r="E6" s="6">
        <f>AVERAGE(B6:D6)</f>
        <v/>
      </c>
    </row>
    <row r="7">
      <c r="A7" s="5" t="inlineStr">
        <is>
          <t>Arquitetura e Design</t>
        </is>
      </c>
      <c r="B7" s="6">
        <f>AVERAGEIFS('Squad A'!$E$4:$E$43, 'Squad A'!$C$4:$C$43, A7)</f>
        <v/>
      </c>
      <c r="C7" s="6">
        <f>AVERAGEIFS('Squad B'!$E$4:$E$43, 'Squad B'!$C$4:$C$43, A7)</f>
        <v/>
      </c>
      <c r="D7" s="6">
        <f>AVERAGEIFS('Squad C'!$E$4:$E$43, 'Squad C'!$C$4:$C$43, A7)</f>
        <v/>
      </c>
      <c r="E7" s="6">
        <f>AVERAGE(B7:D7)</f>
        <v/>
      </c>
    </row>
    <row r="8">
      <c r="A8" s="5" t="inlineStr">
        <is>
          <t>Desenvol. e Revisão</t>
        </is>
      </c>
      <c r="B8" s="6">
        <f>AVERAGEIFS('Squad A'!$E$4:$E$43, 'Squad A'!$C$4:$C$43, A8)</f>
        <v/>
      </c>
      <c r="C8" s="6">
        <f>AVERAGEIFS('Squad B'!$E$4:$E$43, 'Squad B'!$C$4:$C$43, A8)</f>
        <v/>
      </c>
      <c r="D8" s="6">
        <f>AVERAGEIFS('Squad C'!$E$4:$E$43, 'Squad C'!$C$4:$C$43, A8)</f>
        <v/>
      </c>
      <c r="E8" s="6">
        <f>AVERAGE(B8:D8)</f>
        <v/>
      </c>
    </row>
    <row r="9">
      <c r="A9" s="5" t="inlineStr">
        <is>
          <t>Construção e Impl.</t>
        </is>
      </c>
      <c r="B9" s="6">
        <f>AVERAGEIFS('Squad A'!$E$4:$E$43, 'Squad A'!$C$4:$C$43, A9)</f>
        <v/>
      </c>
      <c r="C9" s="6">
        <f>AVERAGEIFS('Squad B'!$E$4:$E$43, 'Squad B'!$C$4:$C$43, A9)</f>
        <v/>
      </c>
      <c r="D9" s="6">
        <f>AVERAGEIFS('Squad C'!$E$4:$E$43, 'Squad C'!$C$4:$C$43, A9)</f>
        <v/>
      </c>
      <c r="E9" s="6">
        <f>AVERAGE(B9:D9)</f>
        <v/>
      </c>
    </row>
    <row r="10">
      <c r="A10" s="5" t="inlineStr">
        <is>
          <t>Testes e Verificação</t>
        </is>
      </c>
      <c r="B10" s="6">
        <f>AVERAGEIFS('Squad A'!$E$4:$E$43, 'Squad A'!$C$4:$C$43, A10)</f>
        <v/>
      </c>
      <c r="C10" s="6">
        <f>AVERAGEIFS('Squad B'!$E$4:$E$43, 'Squad B'!$C$4:$C$43, A10)</f>
        <v/>
      </c>
      <c r="D10" s="6">
        <f>AVERAGEIFS('Squad C'!$E$4:$E$43, 'Squad C'!$C$4:$C$43, A10)</f>
        <v/>
      </c>
      <c r="E10" s="6">
        <f>AVERAGE(B10:D10)</f>
        <v/>
      </c>
    </row>
    <row r="11">
      <c r="A11" s="5" t="inlineStr">
        <is>
          <t>Operações e Obs.</t>
        </is>
      </c>
      <c r="B11" s="6">
        <f>AVERAGEIFS('Squad A'!$E$4:$E$43, 'Squad A'!$C$4:$C$43, A11)</f>
        <v/>
      </c>
      <c r="C11" s="6">
        <f>AVERAGEIFS('Squad B'!$E$4:$E$43, 'Squad B'!$C$4:$C$43, A11)</f>
        <v/>
      </c>
      <c r="D11" s="6">
        <f>AVERAGEIFS('Squad C'!$E$4:$E$43, 'Squad C'!$C$4:$C$43, A11)</f>
        <v/>
      </c>
      <c r="E11" s="6">
        <f>AVERAGE(B11:D11)</f>
        <v/>
      </c>
    </row>
    <row r="12">
      <c r="A12" s="7" t="inlineStr">
        <is>
          <t>MÉDIA GERAL (MÉDIA DE PESO GLOBAL)</t>
        </is>
      </c>
      <c r="B12" s="8">
        <f>AVERAGE(B6:B11)</f>
        <v/>
      </c>
      <c r="C12" s="8">
        <f>AVERAGE(C6:C11)</f>
        <v/>
      </c>
      <c r="D12" s="8">
        <f>AVERAGE(D6:D11)</f>
        <v/>
      </c>
      <c r="E12" s="8">
        <f>AVERAGE(B12:D12)</f>
        <v/>
      </c>
    </row>
    <row r="13"/>
    <row r="14">
      <c r="A14" s="3" t="inlineStr">
        <is>
          <t>2. GRAU DE ADOÇÃO PERCENTUAL GLOBAL (AD% = PESO × 100%)</t>
        </is>
      </c>
    </row>
    <row r="15">
      <c r="A15" s="4" t="inlineStr">
        <is>
          <t>Dimensão SMAF</t>
        </is>
      </c>
      <c r="B15" s="4" t="inlineStr">
        <is>
          <t>Squad A (Nível 2 OT)</t>
        </is>
      </c>
      <c r="C15" s="4" t="inlineStr">
        <is>
          <t>Squad B (Nível 3 MES)</t>
        </is>
      </c>
      <c r="D15" s="4" t="inlineStr">
        <is>
          <t>Squad C (Nível 4 ERP)</t>
        </is>
      </c>
      <c r="E15" s="4" t="inlineStr">
        <is>
          <t>Média Geral</t>
        </is>
      </c>
    </row>
    <row r="16">
      <c r="A16" s="5" t="inlineStr">
        <is>
          <t>Governança</t>
        </is>
      </c>
      <c r="B16" s="9">
        <f>B6</f>
        <v/>
      </c>
      <c r="C16" s="9">
        <f>C6</f>
        <v/>
      </c>
      <c r="D16" s="9">
        <f>D6</f>
        <v/>
      </c>
      <c r="E16" s="9">
        <f>E6</f>
        <v/>
      </c>
    </row>
    <row r="17">
      <c r="A17" s="5" t="inlineStr">
        <is>
          <t>Arquitetura e Design</t>
        </is>
      </c>
      <c r="B17" s="9">
        <f>B7</f>
        <v/>
      </c>
      <c r="C17" s="9">
        <f>C7</f>
        <v/>
      </c>
      <c r="D17" s="9">
        <f>D7</f>
        <v/>
      </c>
      <c r="E17" s="9">
        <f>E7</f>
        <v/>
      </c>
    </row>
    <row r="18">
      <c r="A18" s="5" t="inlineStr">
        <is>
          <t>Desenvol. e Revisão</t>
        </is>
      </c>
      <c r="B18" s="9">
        <f>B8</f>
        <v/>
      </c>
      <c r="C18" s="9">
        <f>C8</f>
        <v/>
      </c>
      <c r="D18" s="9">
        <f>D8</f>
        <v/>
      </c>
      <c r="E18" s="9">
        <f>E8</f>
        <v/>
      </c>
    </row>
    <row r="19">
      <c r="A19" s="5" t="inlineStr">
        <is>
          <t>Construção e Impl.</t>
        </is>
      </c>
      <c r="B19" s="9">
        <f>B9</f>
        <v/>
      </c>
      <c r="C19" s="9">
        <f>C9</f>
        <v/>
      </c>
      <c r="D19" s="9">
        <f>D9</f>
        <v/>
      </c>
      <c r="E19" s="9">
        <f>E9</f>
        <v/>
      </c>
    </row>
    <row r="20">
      <c r="A20" s="5" t="inlineStr">
        <is>
          <t>Testes e Verificação</t>
        </is>
      </c>
      <c r="B20" s="9">
        <f>B10</f>
        <v/>
      </c>
      <c r="C20" s="9">
        <f>C10</f>
        <v/>
      </c>
      <c r="D20" s="9">
        <f>D10</f>
        <v/>
      </c>
      <c r="E20" s="9">
        <f>E10</f>
        <v/>
      </c>
    </row>
    <row r="21">
      <c r="A21" s="5" t="inlineStr">
        <is>
          <t>Operações e Obs.</t>
        </is>
      </c>
      <c r="B21" s="9">
        <f>B11</f>
        <v/>
      </c>
      <c r="C21" s="9">
        <f>C11</f>
        <v/>
      </c>
      <c r="D21" s="9">
        <f>D11</f>
        <v/>
      </c>
      <c r="E21" s="9">
        <f>E11</f>
        <v/>
      </c>
    </row>
    <row r="22">
      <c r="A22" s="7" t="inlineStr">
        <is>
          <t>GRAU DE ADOÇÃO GLOBAL (AD%)</t>
        </is>
      </c>
      <c r="B22" s="10">
        <f>B12</f>
        <v/>
      </c>
      <c r="C22" s="10">
        <f>C12</f>
        <v/>
      </c>
      <c r="D22" s="10">
        <f>D12</f>
        <v/>
      </c>
      <c r="E22" s="10">
        <f>E12</f>
        <v/>
      </c>
    </row>
  </sheetData>
  <mergeCells count="4">
    <mergeCell ref="A2:E2"/>
    <mergeCell ref="A1:E1"/>
    <mergeCell ref="A4:E4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65" customWidth="1" min="2" max="2"/>
    <col width="25" customWidth="1" min="3" max="3"/>
    <col width="25" customWidth="1" min="4" max="4"/>
    <col width="22" customWidth="1" min="5" max="5"/>
    <col width="22" customWidth="1" min="6" max="6"/>
  </cols>
  <sheetData>
    <row r="1">
      <c r="A1" s="1" t="inlineStr">
        <is>
          <t>DIAGNÓSTICO ZEPPELIN-APPSEC - SQUAD A</t>
        </is>
      </c>
    </row>
    <row r="2">
      <c r="A2" s="2" t="inlineStr">
        <is>
          <t>Squad A (Nível 2 OT - Controle de Processos)</t>
        </is>
      </c>
    </row>
    <row r="3">
      <c r="A3" s="4" t="inlineStr">
        <is>
          <t>Cód.</t>
        </is>
      </c>
      <c r="B3" s="4" t="inlineStr">
        <is>
          <t>Declaração Simplificada da Prática (DX)</t>
        </is>
      </c>
      <c r="C3" s="4" t="inlineStr">
        <is>
          <t>Dimensão SMAF</t>
        </is>
      </c>
      <c r="D3" s="4" t="inlineStr">
        <is>
          <t>Nível de Adoção (AL0 a AL4)</t>
        </is>
      </c>
      <c r="E3" s="4" t="inlineStr">
        <is>
          <t>Peso de Adoção (Peso)</t>
        </is>
      </c>
      <c r="F3" s="4" t="inlineStr">
        <is>
          <t>Grau de Adoção (AD%)</t>
        </is>
      </c>
    </row>
    <row r="4">
      <c r="A4" s="11" t="inlineStr">
        <is>
          <t>AO.01</t>
        </is>
      </c>
      <c r="B4" s="12" t="inlineStr">
        <is>
          <t>Regras técnicas e objetivos de segurança documentados e divulgados para todas as squads.</t>
        </is>
      </c>
      <c r="C4" s="12" t="inlineStr">
        <is>
          <t>Governança</t>
        </is>
      </c>
      <c r="D4" s="13" t="n">
        <v>3</v>
      </c>
      <c r="E4" s="6">
        <f>CHOOSE(D4+1, 0, 0.1, 0.3, 0.6, 1.0)</f>
        <v/>
      </c>
      <c r="F4" s="9">
        <f>E4</f>
        <v/>
      </c>
    </row>
    <row r="5">
      <c r="A5" s="14" t="inlineStr">
        <is>
          <t>AO.02</t>
        </is>
      </c>
      <c r="B5" s="15" t="inlineStr">
        <is>
          <t>Mapeamos a criticidade e o perfil de risco de cada aplicação (sensibilidade dos dados e exposição) para calibrar os requisitos de segurança.</t>
        </is>
      </c>
      <c r="C5" s="15" t="inlineStr">
        <is>
          <t>Governança</t>
        </is>
      </c>
      <c r="D5" s="13" t="n">
        <v>3</v>
      </c>
      <c r="E5" s="6">
        <f>CHOOSE(D5+1, 0, 0.1, 0.3, 0.6, 1.0)</f>
        <v/>
      </c>
      <c r="F5" s="9">
        <f>E5</f>
        <v/>
      </c>
    </row>
    <row r="6">
      <c r="A6" s="11" t="inlineStr">
        <is>
          <t>VER.01</t>
        </is>
      </c>
      <c r="B6" s="12" t="inlineStr">
        <is>
          <t>Realizamos testes de invasão (pentests) manuais ou auditorias formais de segurança antes de lançamentos críticos.</t>
        </is>
      </c>
      <c r="C6" s="12" t="inlineStr">
        <is>
          <t>Testes e Verificação</t>
        </is>
      </c>
      <c r="D6" s="13" t="n">
        <v>3</v>
      </c>
      <c r="E6" s="6">
        <f>CHOOSE(D6+1, 0, 0.1, 0.3, 0.6, 1.0)</f>
        <v/>
      </c>
      <c r="F6" s="9">
        <f>E6</f>
        <v/>
      </c>
    </row>
    <row r="7">
      <c r="A7" s="14" t="inlineStr">
        <is>
          <t>GOV.01</t>
        </is>
      </c>
      <c r="B7" s="15" t="inlineStr">
        <is>
          <t>Possuímos Security Champions ou grupos de ação (BAGs) formalizados e atuando diretamente junto às squads.</t>
        </is>
      </c>
      <c r="C7" s="15" t="inlineStr">
        <is>
          <t>Governança</t>
        </is>
      </c>
      <c r="D7" s="13" t="n">
        <v>2</v>
      </c>
      <c r="E7" s="6">
        <f>CHOOSE(D7+1, 0, 0.1, 0.3, 0.6, 1.0)</f>
        <v/>
      </c>
      <c r="F7" s="9">
        <f>E7</f>
        <v/>
      </c>
    </row>
    <row r="8">
      <c r="A8" s="11" t="inlineStr">
        <is>
          <t>GOV.02</t>
        </is>
      </c>
      <c r="B8" s="12" t="inlineStr">
        <is>
          <t>Promovemos treinamentos e capacitações periódicas em codificação segura (ex: OWASP Top 10) para os desenvolvedores.</t>
        </is>
      </c>
      <c r="C8" s="12" t="inlineStr">
        <is>
          <t>Governança</t>
        </is>
      </c>
      <c r="D8" s="13" t="n">
        <v>2</v>
      </c>
      <c r="E8" s="6">
        <f>CHOOSE(D8+1, 0, 0.1, 0.3, 0.6, 1.0)</f>
        <v/>
      </c>
      <c r="F8" s="9">
        <f>E8</f>
        <v/>
      </c>
    </row>
    <row r="9">
      <c r="A9" s="14" t="inlineStr">
        <is>
          <t>ARQ.01</t>
        </is>
      </c>
      <c r="B9" s="15" t="inlineStr">
        <is>
          <t>Discutimos requisitos de segurança no planejamento da sprint através de estórias de usuário de segurança (Security Stories) ou Threat Poker.</t>
        </is>
      </c>
      <c r="C9" s="15" t="inlineStr">
        <is>
          <t>Arquitetura e Design</t>
        </is>
      </c>
      <c r="D9" s="13" t="n">
        <v>2</v>
      </c>
      <c r="E9" s="6">
        <f>CHOOSE(D9+1, 0, 0.1, 0.3, 0.6, 1.0)</f>
        <v/>
      </c>
      <c r="F9" s="9">
        <f>E9</f>
        <v/>
      </c>
    </row>
    <row r="10">
      <c r="A10" s="11" t="inlineStr">
        <is>
          <t>ARQ.02</t>
        </is>
      </c>
      <c r="B10" s="12" t="inlineStr">
        <is>
          <t>Adotamos padrões e princípios formais de arquitetura segura (ex: defesa em camadas, menor privilégio).</t>
        </is>
      </c>
      <c r="C10" s="12" t="inlineStr">
        <is>
          <t>Arquitetura e Design</t>
        </is>
      </c>
      <c r="D10" s="13" t="n">
        <v>2</v>
      </c>
      <c r="E10" s="6">
        <f>CHOOSE(D10+1, 0, 0.1, 0.3, 0.6, 1.0)</f>
        <v/>
      </c>
      <c r="F10" s="9">
        <f>E10</f>
        <v/>
      </c>
    </row>
    <row r="11">
      <c r="A11" s="14" t="inlineStr">
        <is>
          <t>ARQ.03</t>
        </is>
      </c>
      <c r="B11" s="15" t="inlineStr">
        <is>
          <t>Utilizamos bibliotecas corporativas padronizadas e validadas para autenticação, autorização e criptografia.</t>
        </is>
      </c>
      <c r="C11" s="15" t="inlineStr">
        <is>
          <t>Arquitetura e Design</t>
        </is>
      </c>
      <c r="D11" s="13" t="n">
        <v>1</v>
      </c>
      <c r="E11" s="6">
        <f>CHOOSE(D11+1, 0, 0.1, 0.3, 0.6, 1.0)</f>
        <v/>
      </c>
      <c r="F11" s="9">
        <f>E11</f>
        <v/>
      </c>
    </row>
    <row r="12">
      <c r="A12" s="11" t="inlineStr">
        <is>
          <t>ARQ.04</t>
        </is>
      </c>
      <c r="B12" s="12" t="inlineStr">
        <is>
          <t>Possuímos diretrizes técnicas e governança para o uso seguro de Inteligência Artificial Generativa e LLMs no desenvolvimento.</t>
        </is>
      </c>
      <c r="C12" s="12" t="inlineStr">
        <is>
          <t>Arquitetura e Design</t>
        </is>
      </c>
      <c r="D12" s="13" t="n">
        <v>1</v>
      </c>
      <c r="E12" s="6">
        <f>CHOOSE(D12+1, 0, 0.1, 0.3, 0.6, 1.0)</f>
        <v/>
      </c>
      <c r="F12" s="9">
        <f>E12</f>
        <v/>
      </c>
    </row>
    <row r="13">
      <c r="A13" s="14" t="inlineStr">
        <is>
          <t>COD.01</t>
        </is>
      </c>
      <c r="B13" s="15" t="inlineStr">
        <is>
          <t>Utilizamos guias de código seguro e linters/analisadores estáticos de segurança integrados à IDE local dos desenvolvedores.</t>
        </is>
      </c>
      <c r="C13" s="15" t="inlineStr">
        <is>
          <t>Desenvol. e Revisão</t>
        </is>
      </c>
      <c r="D13" s="13" t="n">
        <v>2</v>
      </c>
      <c r="E13" s="6">
        <f>CHOOSE(D13+1, 0, 0.1, 0.3, 0.6, 1.0)</f>
        <v/>
      </c>
      <c r="F13" s="9">
        <f>E13</f>
        <v/>
      </c>
    </row>
    <row r="14">
      <c r="A14" s="11" t="inlineStr">
        <is>
          <t>COD.02</t>
        </is>
      </c>
      <c r="B14" s="12" t="inlineStr">
        <is>
          <t>Realizamos revisão de código por pares (Peer Review / PR Review) com foco explícito na identificação de falhas de segurança.</t>
        </is>
      </c>
      <c r="C14" s="12" t="inlineStr">
        <is>
          <t>Desenvol. e Revisão</t>
        </is>
      </c>
      <c r="D14" s="13" t="n">
        <v>2</v>
      </c>
      <c r="E14" s="6">
        <f>CHOOSE(D14+1, 0, 0.1, 0.3, 0.6, 1.0)</f>
        <v/>
      </c>
      <c r="F14" s="9">
        <f>E14</f>
        <v/>
      </c>
    </row>
    <row r="15">
      <c r="A15" s="14" t="inlineStr">
        <is>
          <t>COD.03</t>
        </is>
      </c>
      <c r="B15" s="15" t="inlineStr">
        <is>
          <t>Utilizamos mecanismos automáticos (ex: pre-commit hooks) para impedir o envio acidental de credenciais e segredos ao repositório.</t>
        </is>
      </c>
      <c r="C15" s="15" t="inlineStr">
        <is>
          <t>Desenvol. e Revisão</t>
        </is>
      </c>
      <c r="D15" s="13" t="n">
        <v>2</v>
      </c>
      <c r="E15" s="6">
        <f>CHOOSE(D15+1, 0, 0.1, 0.3, 0.6, 1.0)</f>
        <v/>
      </c>
      <c r="F15" s="9">
        <f>E15</f>
        <v/>
      </c>
    </row>
    <row r="16">
      <c r="A16" s="11" t="inlineStr">
        <is>
          <t>COD.04</t>
        </is>
      </c>
      <c r="B16" s="12" t="inlineStr">
        <is>
          <t>Registramos e gerenciamos as vulnerabilidades e falhas de segurança identificadas diretamente no backlog principal da squad.</t>
        </is>
      </c>
      <c r="C16" s="12" t="inlineStr">
        <is>
          <t>Desenvol. e Revisão</t>
        </is>
      </c>
      <c r="D16" s="13" t="n">
        <v>2</v>
      </c>
      <c r="E16" s="6">
        <f>CHOOSE(D16+1, 0, 0.1, 0.3, 0.6, 1.0)</f>
        <v/>
      </c>
      <c r="F16" s="9">
        <f>E16</f>
        <v/>
      </c>
    </row>
    <row r="17">
      <c r="A17" s="14" t="inlineStr">
        <is>
          <t>ARQ.05</t>
        </is>
      </c>
      <c r="B17" s="15" t="inlineStr">
        <is>
          <t>Executamos a modelagem de ameaças de forma contínua e automatizada no pipeline de CI (Threat Modeling as Code).</t>
        </is>
      </c>
      <c r="C17" s="15" t="inlineStr">
        <is>
          <t>Arquitetura e Design</t>
        </is>
      </c>
      <c r="D17" s="13" t="n">
        <v>0</v>
      </c>
      <c r="E17" s="6">
        <f>CHOOSE(D17+1, 0, 0.1, 0.3, 0.6, 1.0)</f>
        <v/>
      </c>
      <c r="F17" s="9">
        <f>E17</f>
        <v/>
      </c>
    </row>
    <row r="18">
      <c r="A18" s="11" t="inlineStr">
        <is>
          <t>ARQ.06</t>
        </is>
      </c>
      <c r="B18" s="12" t="inlineStr">
        <is>
          <t>Acompanhamos métricas formais de desempenho em AppSec (ex: MTTR de vulnerabilidades, densidade de defeitos).</t>
        </is>
      </c>
      <c r="C18" s="12" t="inlineStr">
        <is>
          <t>Arquitetura e Design</t>
        </is>
      </c>
      <c r="D18" s="13" t="n">
        <v>0</v>
      </c>
      <c r="E18" s="6">
        <f>CHOOSE(D18+1, 0, 0.1, 0.3, 0.6, 1.0)</f>
        <v/>
      </c>
      <c r="F18" s="9">
        <f>E18</f>
        <v/>
      </c>
    </row>
    <row r="19">
      <c r="A19" s="14" t="inlineStr">
        <is>
          <t>COD.05</t>
        </is>
      </c>
      <c r="B19" s="15" t="inlineStr">
        <is>
          <t>Escrevemos testes automatizados de segurança (Security Unit Tests / Security TDD) para validar comportamentos e lógicas críticas do código.</t>
        </is>
      </c>
      <c r="C19" s="15" t="inlineStr">
        <is>
          <t>Desenvol. e Revisão</t>
        </is>
      </c>
      <c r="D19" s="13" t="n">
        <v>0</v>
      </c>
      <c r="E19" s="6">
        <f>CHOOSE(D19+1, 0, 0.1, 0.3, 0.6, 1.0)</f>
        <v/>
      </c>
      <c r="F19" s="9">
        <f>E19</f>
        <v/>
      </c>
    </row>
    <row r="20">
      <c r="A20" s="11" t="inlineStr">
        <is>
          <t>IND.01</t>
        </is>
      </c>
      <c r="B20" s="12" t="inlineStr">
        <is>
          <t>O processo de compilação (build) é 100% automatizado, isolado e rastreável no servidor de CI a cada commit.</t>
        </is>
      </c>
      <c r="C20" s="12" t="inlineStr">
        <is>
          <t>Construção e Impl.</t>
        </is>
      </c>
      <c r="D20" s="13" t="n">
        <v>2</v>
      </c>
      <c r="E20" s="6">
        <f>CHOOSE(D20+1, 0, 0.1, 0.3, 0.6, 1.0)</f>
        <v/>
      </c>
      <c r="F20" s="9">
        <f>E20</f>
        <v/>
      </c>
    </row>
    <row r="21">
      <c r="A21" s="14" t="inlineStr">
        <is>
          <t>IND.02</t>
        </is>
      </c>
      <c r="B21" s="15" t="inlineStr">
        <is>
          <t>Ferramentas de SCA escaneiam bibliotecas open-source no CI, identificando vulnerabilidades e bloqueando licenças não autorizadas.</t>
        </is>
      </c>
      <c r="C21" s="15" t="inlineStr">
        <is>
          <t>Construção e Impl.</t>
        </is>
      </c>
      <c r="D21" s="13" t="n">
        <v>1</v>
      </c>
      <c r="E21" s="6">
        <f>CHOOSE(D21+1, 0, 0.1, 0.3, 0.6, 1.0)</f>
        <v/>
      </c>
      <c r="F21" s="9">
        <f>E21</f>
        <v/>
      </c>
    </row>
    <row r="22">
      <c r="A22" s="11" t="inlineStr">
        <is>
          <t>VER.02</t>
        </is>
      </c>
      <c r="B22" s="12" t="inlineStr">
        <is>
          <t>Ferramentas de SAST (Análise Estática de Código) rodam automaticamente no pipeline de CI a cada Pull Request.</t>
        </is>
      </c>
      <c r="C22" s="12" t="inlineStr">
        <is>
          <t>Testes e Verificação</t>
        </is>
      </c>
      <c r="D22" s="13" t="n">
        <v>2</v>
      </c>
      <c r="E22" s="6">
        <f>CHOOSE(D22+1, 0, 0.1, 0.3, 0.6, 1.0)</f>
        <v/>
      </c>
      <c r="F22" s="9">
        <f>E22</f>
        <v/>
      </c>
    </row>
    <row r="23">
      <c r="A23" s="14" t="inlineStr">
        <is>
          <t>VER.03</t>
        </is>
      </c>
      <c r="B23" s="15" t="inlineStr">
        <is>
          <t>Ferramentas de varredura de segurança em imagens de contêineres/Docker rodam automaticamente no pipeline de CI.</t>
        </is>
      </c>
      <c r="C23" s="15" t="inlineStr">
        <is>
          <t>Testes e Verificação</t>
        </is>
      </c>
      <c r="D23" s="13" t="n">
        <v>1</v>
      </c>
      <c r="E23" s="6">
        <f>CHOOSE(D23+1, 0, 0.1, 0.3, 0.6, 1.0)</f>
        <v/>
      </c>
      <c r="F23" s="9">
        <f>E23</f>
        <v/>
      </c>
    </row>
    <row r="24">
      <c r="A24" s="11" t="inlineStr">
        <is>
          <t>VER.04</t>
        </is>
      </c>
      <c r="B24" s="12" t="inlineStr">
        <is>
          <t>Utilizamos Quality Gates no CI para bloquear automaticamente builds ou PRs que contenham vulnerabilidades graves.</t>
        </is>
      </c>
      <c r="C24" s="12" t="inlineStr">
        <is>
          <t>Testes e Verificação</t>
        </is>
      </c>
      <c r="D24" s="13" t="n">
        <v>0</v>
      </c>
      <c r="E24" s="6">
        <f>CHOOSE(D24+1, 0, 0.1, 0.3, 0.6, 1.0)</f>
        <v/>
      </c>
      <c r="F24" s="9">
        <f>E24</f>
        <v/>
      </c>
    </row>
    <row r="25">
      <c r="A25" s="14" t="inlineStr">
        <is>
          <t>ARQ.07</t>
        </is>
      </c>
      <c r="B25" s="15" t="inlineStr">
        <is>
          <t>Validamos a conformidade regulatória (ex: LGPD, PCI) de forma automatizada no pipeline de CD (Compliance as Code).</t>
        </is>
      </c>
      <c r="C25" s="15" t="inlineStr">
        <is>
          <t>Arquitetura e Design</t>
        </is>
      </c>
      <c r="D25" s="13" t="n">
        <v>0</v>
      </c>
      <c r="E25" s="6">
        <f>CHOOSE(D25+1, 0, 0.1, 0.3, 0.6, 1.0)</f>
        <v/>
      </c>
      <c r="F25" s="9">
        <f>E25</f>
        <v/>
      </c>
    </row>
    <row r="26">
      <c r="A26" s="11" t="inlineStr">
        <is>
          <t>ARQ.08</t>
        </is>
      </c>
      <c r="B26" s="12" t="inlineStr">
        <is>
          <t>Possuímos playbooks automatizados de resposta e contenção de incidentes de segurança integrados ao CD.</t>
        </is>
      </c>
      <c r="C26" s="12" t="inlineStr">
        <is>
          <t>Arquitetura e Design</t>
        </is>
      </c>
      <c r="D26" s="13" t="n">
        <v>0</v>
      </c>
      <c r="E26" s="6">
        <f>CHOOSE(D26+1, 0, 0.1, 0.3, 0.6, 1.0)</f>
        <v/>
      </c>
      <c r="F26" s="9">
        <f>E26</f>
        <v/>
      </c>
    </row>
    <row r="27">
      <c r="A27" s="14" t="inlineStr">
        <is>
          <t>IND.03</t>
        </is>
      </c>
      <c r="B27" s="15" t="inlineStr">
        <is>
          <t>Gerenciamos e injetamos credenciais e segredos dinamicamente em runtime através de cofres centralizados (Secrets Vaults).</t>
        </is>
      </c>
      <c r="C27" s="15" t="inlineStr">
        <is>
          <t>Construção e Impl.</t>
        </is>
      </c>
      <c r="D27" s="13" t="n">
        <v>2</v>
      </c>
      <c r="E27" s="6">
        <f>CHOOSE(D27+1, 0, 0.1, 0.3, 0.6, 1.0)</f>
        <v/>
      </c>
      <c r="F27" s="9">
        <f>E27</f>
        <v/>
      </c>
    </row>
    <row r="28">
      <c r="A28" s="11" t="inlineStr">
        <is>
          <t>IND.04</t>
        </is>
      </c>
      <c r="B28" s="12" t="inlineStr">
        <is>
          <t>Assinamos digitalmente artefatos de código, compilações e imagens de contêineres antes do deploy para garantir a integridade.</t>
        </is>
      </c>
      <c r="C28" s="12" t="inlineStr">
        <is>
          <t>Construção e Impl.</t>
        </is>
      </c>
      <c r="D28" s="13" t="n">
        <v>1</v>
      </c>
      <c r="E28" s="6">
        <f>CHOOSE(D28+1, 0, 0.1, 0.3, 0.6, 1.0)</f>
        <v/>
      </c>
      <c r="F28" s="9">
        <f>E28</f>
        <v/>
      </c>
    </row>
    <row r="29">
      <c r="A29" s="14" t="inlineStr">
        <is>
          <t>IND.05</t>
        </is>
      </c>
      <c r="B29" s="15" t="inlineStr">
        <is>
          <t>Analisamos estaticamente scripts de Infraestrutura como Código (IaC Scanning: Terraform/Ansible) no pipeline de integração.</t>
        </is>
      </c>
      <c r="C29" s="15" t="inlineStr">
        <is>
          <t>Construção e Impl.</t>
        </is>
      </c>
      <c r="D29" s="13" t="n">
        <v>0</v>
      </c>
      <c r="E29" s="6">
        <f>CHOOSE(D29+1, 0, 0.1, 0.3, 0.6, 1.0)</f>
        <v/>
      </c>
      <c r="F29" s="9">
        <f>E29</f>
        <v/>
      </c>
    </row>
    <row r="30">
      <c r="A30" s="11" t="inlineStr">
        <is>
          <t>IND.06</t>
        </is>
      </c>
      <c r="B30" s="12" t="inlineStr">
        <is>
          <t>Provisionamos ambientes e serviços utilizando exclusivamente imagens previamente homologadas e endurecidas (Golden Images).</t>
        </is>
      </c>
      <c r="C30" s="12" t="inlineStr">
        <is>
          <t>Construção e Impl.</t>
        </is>
      </c>
      <c r="D30" s="13" t="n">
        <v>0</v>
      </c>
      <c r="E30" s="6">
        <f>CHOOSE(D30+1, 0, 0.1, 0.3, 0.6, 1.0)</f>
        <v/>
      </c>
      <c r="F30" s="9">
        <f>E30</f>
        <v/>
      </c>
    </row>
    <row r="31">
      <c r="A31" s="14" t="inlineStr">
        <is>
          <t>VER.05</t>
        </is>
      </c>
      <c r="B31" s="15" t="inlineStr">
        <is>
          <t>Testes dinâmicos (DAST), análises de API e IAST rodam automaticamente contra a aplicação em ambiente de staging antes do deploy.</t>
        </is>
      </c>
      <c r="C31" s="15" t="inlineStr">
        <is>
          <t>Testes e Verificação</t>
        </is>
      </c>
      <c r="D31" s="13" t="n">
        <v>0</v>
      </c>
      <c r="E31" s="6">
        <f>CHOOSE(D31+1, 0, 0.1, 0.3, 0.6, 1.0)</f>
        <v/>
      </c>
      <c r="F31" s="9">
        <f>E31</f>
        <v/>
      </c>
    </row>
    <row r="32">
      <c r="A32" s="11" t="inlineStr">
        <is>
          <t>VER.06</t>
        </is>
      </c>
      <c r="B32" s="12" t="inlineStr">
        <is>
          <t>Utilizamos ferramentas de Gestão de Postura de Segurança em Nuvem (CSPM) para detectar desvios de configuração em tempo real.</t>
        </is>
      </c>
      <c r="C32" s="12" t="inlineStr">
        <is>
          <t>Testes e Verificação</t>
        </is>
      </c>
      <c r="D32" s="13" t="n">
        <v>0</v>
      </c>
      <c r="E32" s="6">
        <f>CHOOSE(D32+1, 0, 0.1, 0.3, 0.6, 1.0)</f>
        <v/>
      </c>
      <c r="F32" s="9">
        <f>E32</f>
        <v/>
      </c>
    </row>
    <row r="33">
      <c r="A33" s="14" t="inlineStr">
        <is>
          <t>VER.07</t>
        </is>
      </c>
      <c r="B33" s="15" t="inlineStr">
        <is>
          <t>Utilizamos inteligência de ameaças (ex: EPSS, CISA KEV) para priorizar a correção de vulnerabilidades com base na explorabilidade real.</t>
        </is>
      </c>
      <c r="C33" s="15" t="inlineStr">
        <is>
          <t>Testes e Verificação</t>
        </is>
      </c>
      <c r="D33" s="13" t="n">
        <v>0</v>
      </c>
      <c r="E33" s="6">
        <f>CHOOSE(D33+1, 0, 0.1, 0.3, 0.6, 1.0)</f>
        <v/>
      </c>
      <c r="F33" s="9">
        <f>E33</f>
        <v/>
      </c>
    </row>
    <row r="34">
      <c r="A34" s="11" t="inlineStr">
        <is>
          <t>OPE.01</t>
        </is>
      </c>
      <c r="B34" s="12" t="inlineStr">
        <is>
          <t>Centralizamos e correlacionamos logs de segurança de todas as aplicações e microsserviços em produção (SIEM / SOC).</t>
        </is>
      </c>
      <c r="C34" s="12" t="inlineStr">
        <is>
          <t>Operações e Obs.</t>
        </is>
      </c>
      <c r="D34" s="13" t="n">
        <v>2</v>
      </c>
      <c r="E34" s="6">
        <f>CHOOSE(D34+1, 0, 0.1, 0.3, 0.6, 1.0)</f>
        <v/>
      </c>
      <c r="F34" s="9">
        <f>E34</f>
        <v/>
      </c>
    </row>
    <row r="35">
      <c r="A35" s="14" t="inlineStr">
        <is>
          <t>OPE.02</t>
        </is>
      </c>
      <c r="B35" s="15" t="inlineStr">
        <is>
          <t>Protegemos as aplicações em produção com soluções de borda e runtime (WAF, API Gateways e Rate Limiting).</t>
        </is>
      </c>
      <c r="C35" s="15" t="inlineStr">
        <is>
          <t>Operações e Obs.</t>
        </is>
      </c>
      <c r="D35" s="13" t="n">
        <v>3</v>
      </c>
      <c r="E35" s="6">
        <f>CHOOSE(D35+1, 0, 0.1, 0.3, 0.6, 1.0)</f>
        <v/>
      </c>
      <c r="F35" s="9">
        <f>E35</f>
        <v/>
      </c>
    </row>
    <row r="36">
      <c r="A36" s="11" t="inlineStr">
        <is>
          <t>OPE.03</t>
        </is>
      </c>
      <c r="B36" s="12" t="inlineStr">
        <is>
          <t>Mantemos processos contínuos de aplicação de patches de segurança e testes periódicos de restauração de backups.</t>
        </is>
      </c>
      <c r="C36" s="12" t="inlineStr">
        <is>
          <t>Operações e Obs.</t>
        </is>
      </c>
      <c r="D36" s="13" t="n">
        <v>2</v>
      </c>
      <c r="E36" s="6">
        <f>CHOOSE(D36+1, 0, 0.1, 0.3, 0.6, 1.0)</f>
        <v/>
      </c>
      <c r="F36" s="9">
        <f>E36</f>
        <v/>
      </c>
    </row>
    <row r="37">
      <c r="A37" s="14" t="inlineStr">
        <is>
          <t>OPE.04</t>
        </is>
      </c>
      <c r="B37" s="15" t="inlineStr">
        <is>
          <t>Executamos varreduras periódicas agendadas de SAST e SCA no repositório de produção para detectar novas CVEs em código antigo.</t>
        </is>
      </c>
      <c r="C37" s="15" t="inlineStr">
        <is>
          <t>Operações e Obs.</t>
        </is>
      </c>
      <c r="D37" s="13" t="n">
        <v>2</v>
      </c>
      <c r="E37" s="6">
        <f>CHOOSE(D37+1, 0, 0.1, 0.3, 0.6, 1.0)</f>
        <v/>
      </c>
      <c r="F37" s="9">
        <f>E37</f>
        <v/>
      </c>
    </row>
    <row r="38">
      <c r="A38" s="11" t="inlineStr">
        <is>
          <t>GOV.03</t>
        </is>
      </c>
      <c r="B38" s="12" t="inlineStr">
        <is>
          <t>Oferecemos treinamentos avançados de segurança técnica focados nas tecnologias e frameworks específicos da empresa.</t>
        </is>
      </c>
      <c r="C38" s="12" t="inlineStr">
        <is>
          <t>Governança</t>
        </is>
      </c>
      <c r="D38" s="13" t="n">
        <v>1</v>
      </c>
      <c r="E38" s="6">
        <f>CHOOSE(D38+1, 0, 0.1, 0.3, 0.6, 1.0)</f>
        <v/>
      </c>
      <c r="F38" s="9">
        <f>E38</f>
        <v/>
      </c>
    </row>
    <row r="39">
      <c r="A39" s="14" t="inlineStr">
        <is>
          <t>GOV.04</t>
        </is>
      </c>
      <c r="B39" s="15" t="inlineStr">
        <is>
          <t>Atualizamos continuamente as diretrizes e controles de AppSec com base nas lições aprendidas de incidentes passados.</t>
        </is>
      </c>
      <c r="C39" s="15" t="inlineStr">
        <is>
          <t>Governança</t>
        </is>
      </c>
      <c r="D39" s="13" t="n">
        <v>2</v>
      </c>
      <c r="E39" s="6">
        <f>CHOOSE(D39+1, 0, 0.1, 0.3, 0.6, 1.0)</f>
        <v/>
      </c>
      <c r="F39" s="9">
        <f>E39</f>
        <v/>
      </c>
    </row>
    <row r="40">
      <c r="A40" s="11" t="inlineStr">
        <is>
          <t>OPE.05</t>
        </is>
      </c>
      <c r="B40" s="12" t="inlineStr">
        <is>
          <t>Possuímos observabilidade e monitoramento de ataques e anomalias em tempo real no ambiente de produção.</t>
        </is>
      </c>
      <c r="C40" s="12" t="inlineStr">
        <is>
          <t>Operações e Obs.</t>
        </is>
      </c>
      <c r="D40" s="13" t="n">
        <v>0</v>
      </c>
      <c r="E40" s="6">
        <f>CHOOSE(D40+1, 0, 0.1, 0.3, 0.6, 1.0)</f>
        <v/>
      </c>
      <c r="F40" s="9">
        <f>E40</f>
        <v/>
      </c>
    </row>
    <row r="41">
      <c r="A41" s="14" t="inlineStr">
        <is>
          <t>OPE.06</t>
        </is>
      </c>
      <c r="B41" s="15" t="inlineStr">
        <is>
          <t>Executamos experimentos de Engenharia do Caos voltados à segurança (Security Chaos Engineering) ou mantemos programas de Bug Bounty.</t>
        </is>
      </c>
      <c r="C41" s="15" t="inlineStr">
        <is>
          <t>Operações e Obs.</t>
        </is>
      </c>
      <c r="D41" s="13" t="n">
        <v>0</v>
      </c>
      <c r="E41" s="6">
        <f>CHOOSE(D41+1, 0, 0.1, 0.3, 0.6, 1.0)</f>
        <v/>
      </c>
      <c r="F41" s="9">
        <f>E41</f>
        <v/>
      </c>
    </row>
    <row r="42">
      <c r="A42" s="11" t="inlineStr">
        <is>
          <t>OPE.07</t>
        </is>
      </c>
      <c r="B42" s="12" t="inlineStr">
        <is>
          <t>Realizamos análise forense e pós-mortem após incidentes para retroalimentar novos requisitos de segurança.</t>
        </is>
      </c>
      <c r="C42" s="12" t="inlineStr">
        <is>
          <t>Operações e Obs.</t>
        </is>
      </c>
      <c r="D42" s="13" t="n">
        <v>2</v>
      </c>
      <c r="E42" s="6">
        <f>CHOOSE(D42+1, 0, 0.1, 0.3, 0.6, 1.0)</f>
        <v/>
      </c>
      <c r="F42" s="9">
        <f>E42</f>
        <v/>
      </c>
    </row>
    <row r="43">
      <c r="A43" s="14" t="inlineStr">
        <is>
          <t>OPE.08</t>
        </is>
      </c>
      <c r="B43" s="15" t="inlineStr">
        <is>
          <t>Utilizamos estratégias de implantação segura (Canary Deployments / Blue-Green) com rollback automático em caso de falha de segurança.</t>
        </is>
      </c>
      <c r="C43" s="15" t="inlineStr">
        <is>
          <t>Operações e Obs.</t>
        </is>
      </c>
      <c r="D43" s="13" t="n">
        <v>1</v>
      </c>
      <c r="E43" s="6">
        <f>CHOOSE(D43+1, 0, 0.1, 0.3, 0.6, 1.0)</f>
        <v/>
      </c>
      <c r="F43" s="9">
        <f>E43</f>
        <v/>
      </c>
    </row>
    <row r="44">
      <c r="A44" s="7" t="inlineStr">
        <is>
          <t>MÉDIA GLOBAL DA SQUAD</t>
        </is>
      </c>
      <c r="B44" s="16" t="inlineStr"/>
      <c r="C44" s="16" t="inlineStr"/>
      <c r="D44" s="17">
        <f>AVERAGE(D4:D43)</f>
        <v/>
      </c>
      <c r="E44" s="8">
        <f>AVERAGE(E4:E43)</f>
        <v/>
      </c>
      <c r="F44" s="10">
        <f>E44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65" customWidth="1" min="2" max="2"/>
    <col width="25" customWidth="1" min="3" max="3"/>
    <col width="25" customWidth="1" min="4" max="4"/>
    <col width="22" customWidth="1" min="5" max="5"/>
    <col width="22" customWidth="1" min="6" max="6"/>
  </cols>
  <sheetData>
    <row r="1">
      <c r="A1" s="1" t="inlineStr">
        <is>
          <t>DIAGNÓSTICO ZEPPELIN-APPSEC - SQUAD B</t>
        </is>
      </c>
    </row>
    <row r="2">
      <c r="A2" s="2" t="inlineStr">
        <is>
          <t>Squad B (Nível 3 MES - Operações de Manufatura)</t>
        </is>
      </c>
    </row>
    <row r="3">
      <c r="A3" s="4" t="inlineStr">
        <is>
          <t>Cód.</t>
        </is>
      </c>
      <c r="B3" s="4" t="inlineStr">
        <is>
          <t>Declaração Simplificada da Prática (DX)</t>
        </is>
      </c>
      <c r="C3" s="4" t="inlineStr">
        <is>
          <t>Dimensão SMAF</t>
        </is>
      </c>
      <c r="D3" s="4" t="inlineStr">
        <is>
          <t>Nível de Adoção (AL0 a AL4)</t>
        </is>
      </c>
      <c r="E3" s="4" t="inlineStr">
        <is>
          <t>Peso de Adoção (Peso)</t>
        </is>
      </c>
      <c r="F3" s="4" t="inlineStr">
        <is>
          <t>Grau de Adoção (AD%)</t>
        </is>
      </c>
    </row>
    <row r="4">
      <c r="A4" s="11" t="inlineStr">
        <is>
          <t>AO.01</t>
        </is>
      </c>
      <c r="B4" s="12" t="inlineStr">
        <is>
          <t>Regras técnicas e objetivos de segurança documentados e divulgados para todas as squads.</t>
        </is>
      </c>
      <c r="C4" s="12" t="inlineStr">
        <is>
          <t>Governança</t>
        </is>
      </c>
      <c r="D4" s="13" t="n">
        <v>3</v>
      </c>
      <c r="E4" s="6">
        <f>CHOOSE(D4+1, 0, 0.1, 0.3, 0.6, 1.0)</f>
        <v/>
      </c>
      <c r="F4" s="9">
        <f>E4</f>
        <v/>
      </c>
    </row>
    <row r="5">
      <c r="A5" s="14" t="inlineStr">
        <is>
          <t>AO.02</t>
        </is>
      </c>
      <c r="B5" s="15" t="inlineStr">
        <is>
          <t>Mapeamos a criticidade e o perfil de risco de cada aplicação (sensibilidade dos dados e exposição) para calibrar os requisitos de segurança.</t>
        </is>
      </c>
      <c r="C5" s="15" t="inlineStr">
        <is>
          <t>Governança</t>
        </is>
      </c>
      <c r="D5" s="13" t="n">
        <v>3</v>
      </c>
      <c r="E5" s="6">
        <f>CHOOSE(D5+1, 0, 0.1, 0.3, 0.6, 1.0)</f>
        <v/>
      </c>
      <c r="F5" s="9">
        <f>E5</f>
        <v/>
      </c>
    </row>
    <row r="6">
      <c r="A6" s="11" t="inlineStr">
        <is>
          <t>VER.01</t>
        </is>
      </c>
      <c r="B6" s="12" t="inlineStr">
        <is>
          <t>Realizamos testes de invasão (pentests) manuais ou auditorias formais de segurança antes de lançamentos críticos.</t>
        </is>
      </c>
      <c r="C6" s="12" t="inlineStr">
        <is>
          <t>Testes e Verificação</t>
        </is>
      </c>
      <c r="D6" s="13" t="n">
        <v>3</v>
      </c>
      <c r="E6" s="6">
        <f>CHOOSE(D6+1, 0, 0.1, 0.3, 0.6, 1.0)</f>
        <v/>
      </c>
      <c r="F6" s="9">
        <f>E6</f>
        <v/>
      </c>
    </row>
    <row r="7">
      <c r="A7" s="14" t="inlineStr">
        <is>
          <t>GOV.01</t>
        </is>
      </c>
      <c r="B7" s="15" t="inlineStr">
        <is>
          <t>Possuímos Security Champions ou grupos de ação (BAGs) formalizados e atuando diretamente junto às squads.</t>
        </is>
      </c>
      <c r="C7" s="15" t="inlineStr">
        <is>
          <t>Governança</t>
        </is>
      </c>
      <c r="D7" s="13" t="n">
        <v>3</v>
      </c>
      <c r="E7" s="6">
        <f>CHOOSE(D7+1, 0, 0.1, 0.3, 0.6, 1.0)</f>
        <v/>
      </c>
      <c r="F7" s="9">
        <f>E7</f>
        <v/>
      </c>
    </row>
    <row r="8">
      <c r="A8" s="11" t="inlineStr">
        <is>
          <t>GOV.02</t>
        </is>
      </c>
      <c r="B8" s="12" t="inlineStr">
        <is>
          <t>Promovemos treinamentos e capacitações periódicas em codificação segura (ex: OWASP Top 10) para os desenvolvedores.</t>
        </is>
      </c>
      <c r="C8" s="12" t="inlineStr">
        <is>
          <t>Governança</t>
        </is>
      </c>
      <c r="D8" s="13" t="n">
        <v>3</v>
      </c>
      <c r="E8" s="6">
        <f>CHOOSE(D8+1, 0, 0.1, 0.3, 0.6, 1.0)</f>
        <v/>
      </c>
      <c r="F8" s="9">
        <f>E8</f>
        <v/>
      </c>
    </row>
    <row r="9">
      <c r="A9" s="14" t="inlineStr">
        <is>
          <t>ARQ.01</t>
        </is>
      </c>
      <c r="B9" s="15" t="inlineStr">
        <is>
          <t>Discutimos requisitos de segurança no planejamento da sprint através de estórias de usuário de segurança (Security Stories) ou Threat Poker.</t>
        </is>
      </c>
      <c r="C9" s="15" t="inlineStr">
        <is>
          <t>Arquitetura e Design</t>
        </is>
      </c>
      <c r="D9" s="13" t="n">
        <v>3</v>
      </c>
      <c r="E9" s="6">
        <f>CHOOSE(D9+1, 0, 0.1, 0.3, 0.6, 1.0)</f>
        <v/>
      </c>
      <c r="F9" s="9">
        <f>E9</f>
        <v/>
      </c>
    </row>
    <row r="10">
      <c r="A10" s="11" t="inlineStr">
        <is>
          <t>ARQ.02</t>
        </is>
      </c>
      <c r="B10" s="12" t="inlineStr">
        <is>
          <t>Adotamos padrões e princípios formais de arquitetura segura (ex: defesa em camadas, menor privilégio).</t>
        </is>
      </c>
      <c r="C10" s="12" t="inlineStr">
        <is>
          <t>Arquitetura e Design</t>
        </is>
      </c>
      <c r="D10" s="13" t="n">
        <v>3</v>
      </c>
      <c r="E10" s="6">
        <f>CHOOSE(D10+1, 0, 0.1, 0.3, 0.6, 1.0)</f>
        <v/>
      </c>
      <c r="F10" s="9">
        <f>E10</f>
        <v/>
      </c>
    </row>
    <row r="11">
      <c r="A11" s="14" t="inlineStr">
        <is>
          <t>ARQ.03</t>
        </is>
      </c>
      <c r="B11" s="15" t="inlineStr">
        <is>
          <t>Utilizamos bibliotecas corporativas padronizadas e validadas para autenticação, autorização e criptografia.</t>
        </is>
      </c>
      <c r="C11" s="15" t="inlineStr">
        <is>
          <t>Arquitetura e Design</t>
        </is>
      </c>
      <c r="D11" s="13" t="n">
        <v>2</v>
      </c>
      <c r="E11" s="6">
        <f>CHOOSE(D11+1, 0, 0.1, 0.3, 0.6, 1.0)</f>
        <v/>
      </c>
      <c r="F11" s="9">
        <f>E11</f>
        <v/>
      </c>
    </row>
    <row r="12">
      <c r="A12" s="11" t="inlineStr">
        <is>
          <t>ARQ.04</t>
        </is>
      </c>
      <c r="B12" s="12" t="inlineStr">
        <is>
          <t>Possuímos diretrizes técnicas e governança para o uso seguro de Inteligência Artificial Generativa e LLMs no desenvolvimento.</t>
        </is>
      </c>
      <c r="C12" s="12" t="inlineStr">
        <is>
          <t>Arquitetura e Design</t>
        </is>
      </c>
      <c r="D12" s="13" t="n">
        <v>2</v>
      </c>
      <c r="E12" s="6">
        <f>CHOOSE(D12+1, 0, 0.1, 0.3, 0.6, 1.0)</f>
        <v/>
      </c>
      <c r="F12" s="9">
        <f>E12</f>
        <v/>
      </c>
    </row>
    <row r="13">
      <c r="A13" s="14" t="inlineStr">
        <is>
          <t>COD.01</t>
        </is>
      </c>
      <c r="B13" s="15" t="inlineStr">
        <is>
          <t>Utilizamos guias de código seguro e linters/analisadores estáticos de segurança integrados à IDE local dos desenvolvedores.</t>
        </is>
      </c>
      <c r="C13" s="15" t="inlineStr">
        <is>
          <t>Desenvol. e Revisão</t>
        </is>
      </c>
      <c r="D13" s="13" t="n">
        <v>3</v>
      </c>
      <c r="E13" s="6">
        <f>CHOOSE(D13+1, 0, 0.1, 0.3, 0.6, 1.0)</f>
        <v/>
      </c>
      <c r="F13" s="9">
        <f>E13</f>
        <v/>
      </c>
    </row>
    <row r="14">
      <c r="A14" s="11" t="inlineStr">
        <is>
          <t>COD.02</t>
        </is>
      </c>
      <c r="B14" s="12" t="inlineStr">
        <is>
          <t>Realizamos revisão de código por pares (Peer Review / PR Review) com foco explícito na identificação de falhas de segurança.</t>
        </is>
      </c>
      <c r="C14" s="12" t="inlineStr">
        <is>
          <t>Desenvol. e Revisão</t>
        </is>
      </c>
      <c r="D14" s="13" t="n">
        <v>3</v>
      </c>
      <c r="E14" s="6">
        <f>CHOOSE(D14+1, 0, 0.1, 0.3, 0.6, 1.0)</f>
        <v/>
      </c>
      <c r="F14" s="9">
        <f>E14</f>
        <v/>
      </c>
    </row>
    <row r="15">
      <c r="A15" s="14" t="inlineStr">
        <is>
          <t>COD.03</t>
        </is>
      </c>
      <c r="B15" s="15" t="inlineStr">
        <is>
          <t>Utilizamos mecanismos automáticos (ex: pre-commit hooks) para impedir o envio acidental de credenciais e segredos ao repositório.</t>
        </is>
      </c>
      <c r="C15" s="15" t="inlineStr">
        <is>
          <t>Desenvol. e Revisão</t>
        </is>
      </c>
      <c r="D15" s="13" t="n">
        <v>3</v>
      </c>
      <c r="E15" s="6">
        <f>CHOOSE(D15+1, 0, 0.1, 0.3, 0.6, 1.0)</f>
        <v/>
      </c>
      <c r="F15" s="9">
        <f>E15</f>
        <v/>
      </c>
    </row>
    <row r="16">
      <c r="A16" s="11" t="inlineStr">
        <is>
          <t>COD.04</t>
        </is>
      </c>
      <c r="B16" s="12" t="inlineStr">
        <is>
          <t>Registramos e gerenciamos as vulnerabilidades e falhas de segurança identificadas diretamente no backlog principal da squad.</t>
        </is>
      </c>
      <c r="C16" s="12" t="inlineStr">
        <is>
          <t>Desenvol. e Revisão</t>
        </is>
      </c>
      <c r="D16" s="13" t="n">
        <v>3</v>
      </c>
      <c r="E16" s="6">
        <f>CHOOSE(D16+1, 0, 0.1, 0.3, 0.6, 1.0)</f>
        <v/>
      </c>
      <c r="F16" s="9">
        <f>E16</f>
        <v/>
      </c>
    </row>
    <row r="17">
      <c r="A17" s="14" t="inlineStr">
        <is>
          <t>ARQ.05</t>
        </is>
      </c>
      <c r="B17" s="15" t="inlineStr">
        <is>
          <t>Executamos a modelagem de ameaças de forma contínua e automatizada no pipeline de CI (Threat Modeling as Code).</t>
        </is>
      </c>
      <c r="C17" s="15" t="inlineStr">
        <is>
          <t>Arquitetura e Design</t>
        </is>
      </c>
      <c r="D17" s="13" t="n">
        <v>2</v>
      </c>
      <c r="E17" s="6">
        <f>CHOOSE(D17+1, 0, 0.1, 0.3, 0.6, 1.0)</f>
        <v/>
      </c>
      <c r="F17" s="9">
        <f>E17</f>
        <v/>
      </c>
    </row>
    <row r="18">
      <c r="A18" s="11" t="inlineStr">
        <is>
          <t>ARQ.06</t>
        </is>
      </c>
      <c r="B18" s="12" t="inlineStr">
        <is>
          <t>Acompanhamos métricas formais de desempenho em AppSec (ex: MTTR de vulnerabilidades, densidade de defeitos).</t>
        </is>
      </c>
      <c r="C18" s="12" t="inlineStr">
        <is>
          <t>Arquitetura e Design</t>
        </is>
      </c>
      <c r="D18" s="13" t="n">
        <v>2</v>
      </c>
      <c r="E18" s="6">
        <f>CHOOSE(D18+1, 0, 0.1, 0.3, 0.6, 1.0)</f>
        <v/>
      </c>
      <c r="F18" s="9">
        <f>E18</f>
        <v/>
      </c>
    </row>
    <row r="19">
      <c r="A19" s="14" t="inlineStr">
        <is>
          <t>COD.05</t>
        </is>
      </c>
      <c r="B19" s="15" t="inlineStr">
        <is>
          <t>Escrevemos testes automatizados de segurança (Security Unit Tests / Security TDD) para validar comportamentos e lógicas críticas do código.</t>
        </is>
      </c>
      <c r="C19" s="15" t="inlineStr">
        <is>
          <t>Desenvol. e Revisão</t>
        </is>
      </c>
      <c r="D19" s="13" t="n">
        <v>2</v>
      </c>
      <c r="E19" s="6">
        <f>CHOOSE(D19+1, 0, 0.1, 0.3, 0.6, 1.0)</f>
        <v/>
      </c>
      <c r="F19" s="9">
        <f>E19</f>
        <v/>
      </c>
    </row>
    <row r="20">
      <c r="A20" s="11" t="inlineStr">
        <is>
          <t>IND.01</t>
        </is>
      </c>
      <c r="B20" s="12" t="inlineStr">
        <is>
          <t>O processo de compilação (build) é 100% automatizado, isolado e rastreável no servidor de CI a cada commit.</t>
        </is>
      </c>
      <c r="C20" s="12" t="inlineStr">
        <is>
          <t>Construção e Impl.</t>
        </is>
      </c>
      <c r="D20" s="13" t="n">
        <v>4</v>
      </c>
      <c r="E20" s="6">
        <f>CHOOSE(D20+1, 0, 0.1, 0.3, 0.6, 1.0)</f>
        <v/>
      </c>
      <c r="F20" s="9">
        <f>E20</f>
        <v/>
      </c>
    </row>
    <row r="21">
      <c r="A21" s="14" t="inlineStr">
        <is>
          <t>IND.02</t>
        </is>
      </c>
      <c r="B21" s="15" t="inlineStr">
        <is>
          <t>Ferramentas de SCA escaneiam bibliotecas open-source no CI, identificando vulnerabilidades e bloqueando licenças não autorizadas.</t>
        </is>
      </c>
      <c r="C21" s="15" t="inlineStr">
        <is>
          <t>Construção e Impl.</t>
        </is>
      </c>
      <c r="D21" s="13" t="n">
        <v>3</v>
      </c>
      <c r="E21" s="6">
        <f>CHOOSE(D21+1, 0, 0.1, 0.3, 0.6, 1.0)</f>
        <v/>
      </c>
      <c r="F21" s="9">
        <f>E21</f>
        <v/>
      </c>
    </row>
    <row r="22">
      <c r="A22" s="11" t="inlineStr">
        <is>
          <t>VER.02</t>
        </is>
      </c>
      <c r="B22" s="12" t="inlineStr">
        <is>
          <t>Ferramentas de SAST (Análise Estática de Código) rodam automaticamente no pipeline de CI a cada Pull Request.</t>
        </is>
      </c>
      <c r="C22" s="12" t="inlineStr">
        <is>
          <t>Testes e Verificação</t>
        </is>
      </c>
      <c r="D22" s="13" t="n">
        <v>3</v>
      </c>
      <c r="E22" s="6">
        <f>CHOOSE(D22+1, 0, 0.1, 0.3, 0.6, 1.0)</f>
        <v/>
      </c>
      <c r="F22" s="9">
        <f>E22</f>
        <v/>
      </c>
    </row>
    <row r="23">
      <c r="A23" s="14" t="inlineStr">
        <is>
          <t>VER.03</t>
        </is>
      </c>
      <c r="B23" s="15" t="inlineStr">
        <is>
          <t>Ferramentas de varredura de segurança em imagens de contêineres/Docker rodam automaticamente no pipeline de CI.</t>
        </is>
      </c>
      <c r="C23" s="15" t="inlineStr">
        <is>
          <t>Testes e Verificação</t>
        </is>
      </c>
      <c r="D23" s="13" t="n">
        <v>3</v>
      </c>
      <c r="E23" s="6">
        <f>CHOOSE(D23+1, 0, 0.1, 0.3, 0.6, 1.0)</f>
        <v/>
      </c>
      <c r="F23" s="9">
        <f>E23</f>
        <v/>
      </c>
    </row>
    <row r="24">
      <c r="A24" s="11" t="inlineStr">
        <is>
          <t>VER.04</t>
        </is>
      </c>
      <c r="B24" s="12" t="inlineStr">
        <is>
          <t>Utilizamos Quality Gates no CI para bloquear automaticamente builds ou PRs que contenham vulnerabilidades graves.</t>
        </is>
      </c>
      <c r="C24" s="12" t="inlineStr">
        <is>
          <t>Testes e Verificação</t>
        </is>
      </c>
      <c r="D24" s="13" t="n">
        <v>2</v>
      </c>
      <c r="E24" s="6">
        <f>CHOOSE(D24+1, 0, 0.1, 0.3, 0.6, 1.0)</f>
        <v/>
      </c>
      <c r="F24" s="9">
        <f>E24</f>
        <v/>
      </c>
    </row>
    <row r="25">
      <c r="A25" s="14" t="inlineStr">
        <is>
          <t>ARQ.07</t>
        </is>
      </c>
      <c r="B25" s="15" t="inlineStr">
        <is>
          <t>Validamos a conformidade regulatória (ex: LGPD, PCI) de forma automatizada no pipeline de CD (Compliance as Code).</t>
        </is>
      </c>
      <c r="C25" s="15" t="inlineStr">
        <is>
          <t>Arquitetura e Design</t>
        </is>
      </c>
      <c r="D25" s="13" t="n">
        <v>2</v>
      </c>
      <c r="E25" s="6">
        <f>CHOOSE(D25+1, 0, 0.1, 0.3, 0.6, 1.0)</f>
        <v/>
      </c>
      <c r="F25" s="9">
        <f>E25</f>
        <v/>
      </c>
    </row>
    <row r="26">
      <c r="A26" s="11" t="inlineStr">
        <is>
          <t>ARQ.08</t>
        </is>
      </c>
      <c r="B26" s="12" t="inlineStr">
        <is>
          <t>Possuímos playbooks automatizados de resposta e contenção de incidentes de segurança integrados ao CD.</t>
        </is>
      </c>
      <c r="C26" s="12" t="inlineStr">
        <is>
          <t>Arquitetura e Design</t>
        </is>
      </c>
      <c r="D26" s="13" t="n">
        <v>2</v>
      </c>
      <c r="E26" s="6">
        <f>CHOOSE(D26+1, 0, 0.1, 0.3, 0.6, 1.0)</f>
        <v/>
      </c>
      <c r="F26" s="9">
        <f>E26</f>
        <v/>
      </c>
    </row>
    <row r="27">
      <c r="A27" s="14" t="inlineStr">
        <is>
          <t>IND.03</t>
        </is>
      </c>
      <c r="B27" s="15" t="inlineStr">
        <is>
          <t>Gerenciamos e injetamos credenciais e segredos dinamicamente em runtime através de cofres centralizados (Secrets Vaults).</t>
        </is>
      </c>
      <c r="C27" s="15" t="inlineStr">
        <is>
          <t>Construção e Impl.</t>
        </is>
      </c>
      <c r="D27" s="13" t="n">
        <v>3</v>
      </c>
      <c r="E27" s="6">
        <f>CHOOSE(D27+1, 0, 0.1, 0.3, 0.6, 1.0)</f>
        <v/>
      </c>
      <c r="F27" s="9">
        <f>E27</f>
        <v/>
      </c>
    </row>
    <row r="28">
      <c r="A28" s="11" t="inlineStr">
        <is>
          <t>IND.04</t>
        </is>
      </c>
      <c r="B28" s="12" t="inlineStr">
        <is>
          <t>Assinamos digitalmente artefatos de código, compilações e imagens de contêineres antes do deploy para garantir a integridade.</t>
        </is>
      </c>
      <c r="C28" s="12" t="inlineStr">
        <is>
          <t>Construção e Impl.</t>
        </is>
      </c>
      <c r="D28" s="13" t="n">
        <v>2</v>
      </c>
      <c r="E28" s="6">
        <f>CHOOSE(D28+1, 0, 0.1, 0.3, 0.6, 1.0)</f>
        <v/>
      </c>
      <c r="F28" s="9">
        <f>E28</f>
        <v/>
      </c>
    </row>
    <row r="29">
      <c r="A29" s="14" t="inlineStr">
        <is>
          <t>IND.05</t>
        </is>
      </c>
      <c r="B29" s="15" t="inlineStr">
        <is>
          <t>Analisamos estaticamente scripts de Infraestrutura como Código (IaC Scanning: Terraform/Ansible) no pipeline de integração.</t>
        </is>
      </c>
      <c r="C29" s="15" t="inlineStr">
        <is>
          <t>Construção e Impl.</t>
        </is>
      </c>
      <c r="D29" s="13" t="n">
        <v>2</v>
      </c>
      <c r="E29" s="6">
        <f>CHOOSE(D29+1, 0, 0.1, 0.3, 0.6, 1.0)</f>
        <v/>
      </c>
      <c r="F29" s="9">
        <f>E29</f>
        <v/>
      </c>
    </row>
    <row r="30">
      <c r="A30" s="11" t="inlineStr">
        <is>
          <t>IND.06</t>
        </is>
      </c>
      <c r="B30" s="12" t="inlineStr">
        <is>
          <t>Provisionamos ambientes e serviços utilizando exclusivamente imagens previamente homologadas e endurecidas (Golden Images).</t>
        </is>
      </c>
      <c r="C30" s="12" t="inlineStr">
        <is>
          <t>Construção e Impl.</t>
        </is>
      </c>
      <c r="D30" s="13" t="n">
        <v>2</v>
      </c>
      <c r="E30" s="6">
        <f>CHOOSE(D30+1, 0, 0.1, 0.3, 0.6, 1.0)</f>
        <v/>
      </c>
      <c r="F30" s="9">
        <f>E30</f>
        <v/>
      </c>
    </row>
    <row r="31">
      <c r="A31" s="14" t="inlineStr">
        <is>
          <t>VER.05</t>
        </is>
      </c>
      <c r="B31" s="15" t="inlineStr">
        <is>
          <t>Testes dinâmicos (DAST), análises de API e IAST rodam automaticamente contra a aplicação em ambiente de staging antes do deploy.</t>
        </is>
      </c>
      <c r="C31" s="15" t="inlineStr">
        <is>
          <t>Testes e Verificação</t>
        </is>
      </c>
      <c r="D31" s="13" t="n">
        <v>2</v>
      </c>
      <c r="E31" s="6">
        <f>CHOOSE(D31+1, 0, 0.1, 0.3, 0.6, 1.0)</f>
        <v/>
      </c>
      <c r="F31" s="9">
        <f>E31</f>
        <v/>
      </c>
    </row>
    <row r="32">
      <c r="A32" s="11" t="inlineStr">
        <is>
          <t>VER.06</t>
        </is>
      </c>
      <c r="B32" s="12" t="inlineStr">
        <is>
          <t>Utilizamos ferramentas de Gestão de Postura de Segurança em Nuvem (CSPM) para detectar desvios de configuração em tempo real.</t>
        </is>
      </c>
      <c r="C32" s="12" t="inlineStr">
        <is>
          <t>Testes e Verificação</t>
        </is>
      </c>
      <c r="D32" s="13" t="n">
        <v>1</v>
      </c>
      <c r="E32" s="6">
        <f>CHOOSE(D32+1, 0, 0.1, 0.3, 0.6, 1.0)</f>
        <v/>
      </c>
      <c r="F32" s="9">
        <f>E32</f>
        <v/>
      </c>
    </row>
    <row r="33">
      <c r="A33" s="14" t="inlineStr">
        <is>
          <t>VER.07</t>
        </is>
      </c>
      <c r="B33" s="15" t="inlineStr">
        <is>
          <t>Utilizamos inteligência de ameaças (ex: EPSS, CISA KEV) para priorizar a correção de vulnerabilidades com base na explorabilidade real.</t>
        </is>
      </c>
      <c r="C33" s="15" t="inlineStr">
        <is>
          <t>Testes e Verificação</t>
        </is>
      </c>
      <c r="D33" s="13" t="n">
        <v>2</v>
      </c>
      <c r="E33" s="6">
        <f>CHOOSE(D33+1, 0, 0.1, 0.3, 0.6, 1.0)</f>
        <v/>
      </c>
      <c r="F33" s="9">
        <f>E33</f>
        <v/>
      </c>
    </row>
    <row r="34">
      <c r="A34" s="11" t="inlineStr">
        <is>
          <t>OPE.01</t>
        </is>
      </c>
      <c r="B34" s="12" t="inlineStr">
        <is>
          <t>Centralizamos e correlacionamos logs de segurança de todas as aplicações e microsserviços em produção (SIEM / SOC).</t>
        </is>
      </c>
      <c r="C34" s="12" t="inlineStr">
        <is>
          <t>Operações e Obs.</t>
        </is>
      </c>
      <c r="D34" s="13" t="n">
        <v>3</v>
      </c>
      <c r="E34" s="6">
        <f>CHOOSE(D34+1, 0, 0.1, 0.3, 0.6, 1.0)</f>
        <v/>
      </c>
      <c r="F34" s="9">
        <f>E34</f>
        <v/>
      </c>
    </row>
    <row r="35">
      <c r="A35" s="14" t="inlineStr">
        <is>
          <t>OPE.02</t>
        </is>
      </c>
      <c r="B35" s="15" t="inlineStr">
        <is>
          <t>Protegemos as aplicações em produção com soluções de borda e runtime (WAF, API Gateways e Rate Limiting).</t>
        </is>
      </c>
      <c r="C35" s="15" t="inlineStr">
        <is>
          <t>Operações e Obs.</t>
        </is>
      </c>
      <c r="D35" s="13" t="n">
        <v>3</v>
      </c>
      <c r="E35" s="6">
        <f>CHOOSE(D35+1, 0, 0.1, 0.3, 0.6, 1.0)</f>
        <v/>
      </c>
      <c r="F35" s="9">
        <f>E35</f>
        <v/>
      </c>
    </row>
    <row r="36">
      <c r="A36" s="11" t="inlineStr">
        <is>
          <t>OPE.03</t>
        </is>
      </c>
      <c r="B36" s="12" t="inlineStr">
        <is>
          <t>Mantemos processos contínuos de aplicação de patches de segurança e testes periódicos de restauração de backups.</t>
        </is>
      </c>
      <c r="C36" s="12" t="inlineStr">
        <is>
          <t>Operações e Obs.</t>
        </is>
      </c>
      <c r="D36" s="13" t="n">
        <v>3</v>
      </c>
      <c r="E36" s="6">
        <f>CHOOSE(D36+1, 0, 0.1, 0.3, 0.6, 1.0)</f>
        <v/>
      </c>
      <c r="F36" s="9">
        <f>E36</f>
        <v/>
      </c>
    </row>
    <row r="37">
      <c r="A37" s="14" t="inlineStr">
        <is>
          <t>OPE.04</t>
        </is>
      </c>
      <c r="B37" s="15" t="inlineStr">
        <is>
          <t>Executamos varreduras periódicas agendadas de SAST e SCA no repositório de produção para detectar novas CVEs em código antigo.</t>
        </is>
      </c>
      <c r="C37" s="15" t="inlineStr">
        <is>
          <t>Operações e Obs.</t>
        </is>
      </c>
      <c r="D37" s="13" t="n">
        <v>3</v>
      </c>
      <c r="E37" s="6">
        <f>CHOOSE(D37+1, 0, 0.1, 0.3, 0.6, 1.0)</f>
        <v/>
      </c>
      <c r="F37" s="9">
        <f>E37</f>
        <v/>
      </c>
    </row>
    <row r="38">
      <c r="A38" s="11" t="inlineStr">
        <is>
          <t>GOV.03</t>
        </is>
      </c>
      <c r="B38" s="12" t="inlineStr">
        <is>
          <t>Oferecemos treinamentos avançados de segurança técnica focados nas tecnologias e frameworks específicos da empresa.</t>
        </is>
      </c>
      <c r="C38" s="12" t="inlineStr">
        <is>
          <t>Governança</t>
        </is>
      </c>
      <c r="D38" s="13" t="n">
        <v>2</v>
      </c>
      <c r="E38" s="6">
        <f>CHOOSE(D38+1, 0, 0.1, 0.3, 0.6, 1.0)</f>
        <v/>
      </c>
      <c r="F38" s="9">
        <f>E38</f>
        <v/>
      </c>
    </row>
    <row r="39">
      <c r="A39" s="14" t="inlineStr">
        <is>
          <t>GOV.04</t>
        </is>
      </c>
      <c r="B39" s="15" t="inlineStr">
        <is>
          <t>Atualizamos continuamente as diretrizes e controles de AppSec com base nas lições aprendidas de incidentes passados.</t>
        </is>
      </c>
      <c r="C39" s="15" t="inlineStr">
        <is>
          <t>Governança</t>
        </is>
      </c>
      <c r="D39" s="13" t="n">
        <v>3</v>
      </c>
      <c r="E39" s="6">
        <f>CHOOSE(D39+1, 0, 0.1, 0.3, 0.6, 1.0)</f>
        <v/>
      </c>
      <c r="F39" s="9">
        <f>E39</f>
        <v/>
      </c>
    </row>
    <row r="40">
      <c r="A40" s="11" t="inlineStr">
        <is>
          <t>OPE.05</t>
        </is>
      </c>
      <c r="B40" s="12" t="inlineStr">
        <is>
          <t>Possuímos observabilidade e monitoramento de ataques e anomalias em tempo real no ambiente de produção.</t>
        </is>
      </c>
      <c r="C40" s="12" t="inlineStr">
        <is>
          <t>Operações e Obs.</t>
        </is>
      </c>
      <c r="D40" s="13" t="n">
        <v>1</v>
      </c>
      <c r="E40" s="6">
        <f>CHOOSE(D40+1, 0, 0.1, 0.3, 0.6, 1.0)</f>
        <v/>
      </c>
      <c r="F40" s="9">
        <f>E40</f>
        <v/>
      </c>
    </row>
    <row r="41">
      <c r="A41" s="14" t="inlineStr">
        <is>
          <t>OPE.06</t>
        </is>
      </c>
      <c r="B41" s="15" t="inlineStr">
        <is>
          <t>Executamos experimentos de Engenharia do Caos voltados à segurança (Security Chaos Engineering) ou mantemos programas de Bug Bounty.</t>
        </is>
      </c>
      <c r="C41" s="15" t="inlineStr">
        <is>
          <t>Operações e Obs.</t>
        </is>
      </c>
      <c r="D41" s="13" t="n">
        <v>1</v>
      </c>
      <c r="E41" s="6">
        <f>CHOOSE(D41+1, 0, 0.1, 0.3, 0.6, 1.0)</f>
        <v/>
      </c>
      <c r="F41" s="9">
        <f>E41</f>
        <v/>
      </c>
    </row>
    <row r="42">
      <c r="A42" s="11" t="inlineStr">
        <is>
          <t>OPE.07</t>
        </is>
      </c>
      <c r="B42" s="12" t="inlineStr">
        <is>
          <t>Realizamos análise forense e pós-mortem após incidentes para retroalimentar novos requisitos de segurança.</t>
        </is>
      </c>
      <c r="C42" s="12" t="inlineStr">
        <is>
          <t>Operações e Obs.</t>
        </is>
      </c>
      <c r="D42" s="13" t="n">
        <v>3</v>
      </c>
      <c r="E42" s="6">
        <f>CHOOSE(D42+1, 0, 0.1, 0.3, 0.6, 1.0)</f>
        <v/>
      </c>
      <c r="F42" s="9">
        <f>E42</f>
        <v/>
      </c>
    </row>
    <row r="43">
      <c r="A43" s="14" t="inlineStr">
        <is>
          <t>OPE.08</t>
        </is>
      </c>
      <c r="B43" s="15" t="inlineStr">
        <is>
          <t>Utilizamos estratégias de implantação segura (Canary Deployments / Blue-Green) com rollback automático em caso de falha de segurança.</t>
        </is>
      </c>
      <c r="C43" s="15" t="inlineStr">
        <is>
          <t>Operações e Obs.</t>
        </is>
      </c>
      <c r="D43" s="13" t="n">
        <v>2</v>
      </c>
      <c r="E43" s="6">
        <f>CHOOSE(D43+1, 0, 0.1, 0.3, 0.6, 1.0)</f>
        <v/>
      </c>
      <c r="F43" s="9">
        <f>E43</f>
        <v/>
      </c>
    </row>
    <row r="44">
      <c r="A44" s="7" t="inlineStr">
        <is>
          <t>MÉDIA GLOBAL DA SQUAD</t>
        </is>
      </c>
      <c r="B44" s="16" t="inlineStr"/>
      <c r="C44" s="16" t="inlineStr"/>
      <c r="D44" s="17">
        <f>AVERAGE(D4:D43)</f>
        <v/>
      </c>
      <c r="E44" s="8">
        <f>AVERAGE(E4:E43)</f>
        <v/>
      </c>
      <c r="F44" s="10">
        <f>E44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65" customWidth="1" min="2" max="2"/>
    <col width="25" customWidth="1" min="3" max="3"/>
    <col width="25" customWidth="1" min="4" max="4"/>
    <col width="22" customWidth="1" min="5" max="5"/>
    <col width="22" customWidth="1" min="6" max="6"/>
  </cols>
  <sheetData>
    <row r="1">
      <c r="A1" s="1" t="inlineStr">
        <is>
          <t>DIAGNÓSTICO ZEPPELIN-APPSEC - SQUAD C</t>
        </is>
      </c>
    </row>
    <row r="2">
      <c r="A2" s="2" t="inlineStr">
        <is>
          <t>Squad C (Nível 4 ERP - TI Corporativa)</t>
        </is>
      </c>
    </row>
    <row r="3">
      <c r="A3" s="4" t="inlineStr">
        <is>
          <t>Cód.</t>
        </is>
      </c>
      <c r="B3" s="4" t="inlineStr">
        <is>
          <t>Declaração Simplificada da Prática (DX)</t>
        </is>
      </c>
      <c r="C3" s="4" t="inlineStr">
        <is>
          <t>Dimensão SMAF</t>
        </is>
      </c>
      <c r="D3" s="4" t="inlineStr">
        <is>
          <t>Nível de Adoção (AL0 a AL4)</t>
        </is>
      </c>
      <c r="E3" s="4" t="inlineStr">
        <is>
          <t>Peso de Adoção (Peso)</t>
        </is>
      </c>
      <c r="F3" s="4" t="inlineStr">
        <is>
          <t>Grau de Adoção (AD%)</t>
        </is>
      </c>
    </row>
    <row r="4">
      <c r="A4" s="11" t="inlineStr">
        <is>
          <t>AO.01</t>
        </is>
      </c>
      <c r="B4" s="12" t="inlineStr">
        <is>
          <t>Regras técnicas e objetivos de segurança documentados e divulgados para todas as squads.</t>
        </is>
      </c>
      <c r="C4" s="12" t="inlineStr">
        <is>
          <t>Governança</t>
        </is>
      </c>
      <c r="D4" s="13" t="n">
        <v>4</v>
      </c>
      <c r="E4" s="6">
        <f>CHOOSE(D4+1, 0, 0.1, 0.3, 0.6, 1.0)</f>
        <v/>
      </c>
      <c r="F4" s="9">
        <f>E4</f>
        <v/>
      </c>
    </row>
    <row r="5">
      <c r="A5" s="14" t="inlineStr">
        <is>
          <t>AO.02</t>
        </is>
      </c>
      <c r="B5" s="15" t="inlineStr">
        <is>
          <t>Mapeamos a criticidade e o perfil de risco de cada aplicação (sensibilidade dos dados e exposição) para calibrar os requisitos de segurança.</t>
        </is>
      </c>
      <c r="C5" s="15" t="inlineStr">
        <is>
          <t>Governança</t>
        </is>
      </c>
      <c r="D5" s="13" t="n">
        <v>4</v>
      </c>
      <c r="E5" s="6">
        <f>CHOOSE(D5+1, 0, 0.1, 0.3, 0.6, 1.0)</f>
        <v/>
      </c>
      <c r="F5" s="9">
        <f>E5</f>
        <v/>
      </c>
    </row>
    <row r="6">
      <c r="A6" s="11" t="inlineStr">
        <is>
          <t>VER.01</t>
        </is>
      </c>
      <c r="B6" s="12" t="inlineStr">
        <is>
          <t>Realizamos testes de invasão (pentests) manuais ou auditorias formais de segurança antes de lançamentos críticos.</t>
        </is>
      </c>
      <c r="C6" s="12" t="inlineStr">
        <is>
          <t>Testes e Verificação</t>
        </is>
      </c>
      <c r="D6" s="13" t="n">
        <v>3</v>
      </c>
      <c r="E6" s="6">
        <f>CHOOSE(D6+1, 0, 0.1, 0.3, 0.6, 1.0)</f>
        <v/>
      </c>
      <c r="F6" s="9">
        <f>E6</f>
        <v/>
      </c>
    </row>
    <row r="7">
      <c r="A7" s="14" t="inlineStr">
        <is>
          <t>GOV.01</t>
        </is>
      </c>
      <c r="B7" s="15" t="inlineStr">
        <is>
          <t>Possuímos Security Champions ou grupos de ação (BAGs) formalizados e atuando diretamente junto às squads.</t>
        </is>
      </c>
      <c r="C7" s="15" t="inlineStr">
        <is>
          <t>Governança</t>
        </is>
      </c>
      <c r="D7" s="13" t="n">
        <v>4</v>
      </c>
      <c r="E7" s="6">
        <f>CHOOSE(D7+1, 0, 0.1, 0.3, 0.6, 1.0)</f>
        <v/>
      </c>
      <c r="F7" s="9">
        <f>E7</f>
        <v/>
      </c>
    </row>
    <row r="8">
      <c r="A8" s="11" t="inlineStr">
        <is>
          <t>GOV.02</t>
        </is>
      </c>
      <c r="B8" s="12" t="inlineStr">
        <is>
          <t>Promovemos treinamentos e capacitações periódicas em codificação segura (ex: OWASP Top 10) para os desenvolvedores.</t>
        </is>
      </c>
      <c r="C8" s="12" t="inlineStr">
        <is>
          <t>Governança</t>
        </is>
      </c>
      <c r="D8" s="13" t="n">
        <v>4</v>
      </c>
      <c r="E8" s="6">
        <f>CHOOSE(D8+1, 0, 0.1, 0.3, 0.6, 1.0)</f>
        <v/>
      </c>
      <c r="F8" s="9">
        <f>E8</f>
        <v/>
      </c>
    </row>
    <row r="9">
      <c r="A9" s="14" t="inlineStr">
        <is>
          <t>ARQ.01</t>
        </is>
      </c>
      <c r="B9" s="15" t="inlineStr">
        <is>
          <t>Discutimos requisitos de segurança no planejamento da sprint através de estórias de usuário de segurança (Security Stories) ou Threat Poker.</t>
        </is>
      </c>
      <c r="C9" s="15" t="inlineStr">
        <is>
          <t>Arquitetura e Design</t>
        </is>
      </c>
      <c r="D9" s="13" t="n">
        <v>4</v>
      </c>
      <c r="E9" s="6">
        <f>CHOOSE(D9+1, 0, 0.1, 0.3, 0.6, 1.0)</f>
        <v/>
      </c>
      <c r="F9" s="9">
        <f>E9</f>
        <v/>
      </c>
    </row>
    <row r="10">
      <c r="A10" s="11" t="inlineStr">
        <is>
          <t>ARQ.02</t>
        </is>
      </c>
      <c r="B10" s="12" t="inlineStr">
        <is>
          <t>Adotamos padrões e princípios formais de arquitetura segura (ex: defesa em camadas, menor privilégio).</t>
        </is>
      </c>
      <c r="C10" s="12" t="inlineStr">
        <is>
          <t>Arquitetura e Design</t>
        </is>
      </c>
      <c r="D10" s="13" t="n">
        <v>4</v>
      </c>
      <c r="E10" s="6">
        <f>CHOOSE(D10+1, 0, 0.1, 0.3, 0.6, 1.0)</f>
        <v/>
      </c>
      <c r="F10" s="9">
        <f>E10</f>
        <v/>
      </c>
    </row>
    <row r="11">
      <c r="A11" s="14" t="inlineStr">
        <is>
          <t>ARQ.03</t>
        </is>
      </c>
      <c r="B11" s="15" t="inlineStr">
        <is>
          <t>Utilizamos bibliotecas corporativas padronizadas e validadas para autenticação, autorização e criptografia.</t>
        </is>
      </c>
      <c r="C11" s="15" t="inlineStr">
        <is>
          <t>Arquitetura e Design</t>
        </is>
      </c>
      <c r="D11" s="13" t="n">
        <v>3</v>
      </c>
      <c r="E11" s="6">
        <f>CHOOSE(D11+1, 0, 0.1, 0.3, 0.6, 1.0)</f>
        <v/>
      </c>
      <c r="F11" s="9">
        <f>E11</f>
        <v/>
      </c>
    </row>
    <row r="12">
      <c r="A12" s="11" t="inlineStr">
        <is>
          <t>ARQ.04</t>
        </is>
      </c>
      <c r="B12" s="12" t="inlineStr">
        <is>
          <t>Possuímos diretrizes técnicas e governança para o uso seguro de Inteligência Artificial Generativa e LLMs no desenvolvimento.</t>
        </is>
      </c>
      <c r="C12" s="12" t="inlineStr">
        <is>
          <t>Arquitetura e Design</t>
        </is>
      </c>
      <c r="D12" s="13" t="n">
        <v>3</v>
      </c>
      <c r="E12" s="6">
        <f>CHOOSE(D12+1, 0, 0.1, 0.3, 0.6, 1.0)</f>
        <v/>
      </c>
      <c r="F12" s="9">
        <f>E12</f>
        <v/>
      </c>
    </row>
    <row r="13">
      <c r="A13" s="14" t="inlineStr">
        <is>
          <t>COD.01</t>
        </is>
      </c>
      <c r="B13" s="15" t="inlineStr">
        <is>
          <t>Utilizamos guias de código seguro e linters/analisadores estáticos de segurança integrados à IDE local dos desenvolvedores.</t>
        </is>
      </c>
      <c r="C13" s="15" t="inlineStr">
        <is>
          <t>Desenvol. e Revisão</t>
        </is>
      </c>
      <c r="D13" s="13" t="n">
        <v>4</v>
      </c>
      <c r="E13" s="6">
        <f>CHOOSE(D13+1, 0, 0.1, 0.3, 0.6, 1.0)</f>
        <v/>
      </c>
      <c r="F13" s="9">
        <f>E13</f>
        <v/>
      </c>
    </row>
    <row r="14">
      <c r="A14" s="11" t="inlineStr">
        <is>
          <t>COD.02</t>
        </is>
      </c>
      <c r="B14" s="12" t="inlineStr">
        <is>
          <t>Realizamos revisão de código por pares (Peer Review / PR Review) com foco explícito na identificação de falhas de segurança.</t>
        </is>
      </c>
      <c r="C14" s="12" t="inlineStr">
        <is>
          <t>Desenvol. e Revisão</t>
        </is>
      </c>
      <c r="D14" s="13" t="n">
        <v>4</v>
      </c>
      <c r="E14" s="6">
        <f>CHOOSE(D14+1, 0, 0.1, 0.3, 0.6, 1.0)</f>
        <v/>
      </c>
      <c r="F14" s="9">
        <f>E14</f>
        <v/>
      </c>
    </row>
    <row r="15">
      <c r="A15" s="14" t="inlineStr">
        <is>
          <t>COD.03</t>
        </is>
      </c>
      <c r="B15" s="15" t="inlineStr">
        <is>
          <t>Utilizamos mecanismos automáticos (ex: pre-commit hooks) para impedir o envio acidental de credenciais e segredos ao repositório.</t>
        </is>
      </c>
      <c r="C15" s="15" t="inlineStr">
        <is>
          <t>Desenvol. e Revisão</t>
        </is>
      </c>
      <c r="D15" s="13" t="n">
        <v>4</v>
      </c>
      <c r="E15" s="6">
        <f>CHOOSE(D15+1, 0, 0.1, 0.3, 0.6, 1.0)</f>
        <v/>
      </c>
      <c r="F15" s="9">
        <f>E15</f>
        <v/>
      </c>
    </row>
    <row r="16">
      <c r="A16" s="11" t="inlineStr">
        <is>
          <t>COD.04</t>
        </is>
      </c>
      <c r="B16" s="12" t="inlineStr">
        <is>
          <t>Registramos e gerenciamos as vulnerabilidades e falhas de segurança identificadas diretamente no backlog principal da squad.</t>
        </is>
      </c>
      <c r="C16" s="12" t="inlineStr">
        <is>
          <t>Desenvol. e Revisão</t>
        </is>
      </c>
      <c r="D16" s="13" t="n">
        <v>4</v>
      </c>
      <c r="E16" s="6">
        <f>CHOOSE(D16+1, 0, 0.1, 0.3, 0.6, 1.0)</f>
        <v/>
      </c>
      <c r="F16" s="9">
        <f>E16</f>
        <v/>
      </c>
    </row>
    <row r="17">
      <c r="A17" s="14" t="inlineStr">
        <is>
          <t>ARQ.05</t>
        </is>
      </c>
      <c r="B17" s="15" t="inlineStr">
        <is>
          <t>Executamos a modelagem de ameaças de forma contínua e automatizada no pipeline de CI (Threat Modeling as Code).</t>
        </is>
      </c>
      <c r="C17" s="15" t="inlineStr">
        <is>
          <t>Arquitetura e Design</t>
        </is>
      </c>
      <c r="D17" s="13" t="n">
        <v>3</v>
      </c>
      <c r="E17" s="6">
        <f>CHOOSE(D17+1, 0, 0.1, 0.3, 0.6, 1.0)</f>
        <v/>
      </c>
      <c r="F17" s="9">
        <f>E17</f>
        <v/>
      </c>
    </row>
    <row r="18">
      <c r="A18" s="11" t="inlineStr">
        <is>
          <t>ARQ.06</t>
        </is>
      </c>
      <c r="B18" s="12" t="inlineStr">
        <is>
          <t>Acompanhamos métricas formais de desempenho em AppSec (ex: MTTR de vulnerabilidades, densidade de defeitos).</t>
        </is>
      </c>
      <c r="C18" s="12" t="inlineStr">
        <is>
          <t>Arquitetura e Design</t>
        </is>
      </c>
      <c r="D18" s="13" t="n">
        <v>4</v>
      </c>
      <c r="E18" s="6">
        <f>CHOOSE(D18+1, 0, 0.1, 0.3, 0.6, 1.0)</f>
        <v/>
      </c>
      <c r="F18" s="9">
        <f>E18</f>
        <v/>
      </c>
    </row>
    <row r="19">
      <c r="A19" s="14" t="inlineStr">
        <is>
          <t>COD.05</t>
        </is>
      </c>
      <c r="B19" s="15" t="inlineStr">
        <is>
          <t>Escrevemos testes automatizados de segurança (Security Unit Tests / Security TDD) para validar comportamentos e lógicas críticas do código.</t>
        </is>
      </c>
      <c r="C19" s="15" t="inlineStr">
        <is>
          <t>Desenvol. e Revisão</t>
        </is>
      </c>
      <c r="D19" s="13" t="n">
        <v>3</v>
      </c>
      <c r="E19" s="6">
        <f>CHOOSE(D19+1, 0, 0.1, 0.3, 0.6, 1.0)</f>
        <v/>
      </c>
      <c r="F19" s="9">
        <f>E19</f>
        <v/>
      </c>
    </row>
    <row r="20">
      <c r="A20" s="11" t="inlineStr">
        <is>
          <t>IND.01</t>
        </is>
      </c>
      <c r="B20" s="12" t="inlineStr">
        <is>
          <t>O processo de compilação (build) é 100% automatizado, isolado e rastreável no servidor de CI a cada commit.</t>
        </is>
      </c>
      <c r="C20" s="12" t="inlineStr">
        <is>
          <t>Construção e Impl.</t>
        </is>
      </c>
      <c r="D20" s="13" t="n">
        <v>4</v>
      </c>
      <c r="E20" s="6">
        <f>CHOOSE(D20+1, 0, 0.1, 0.3, 0.6, 1.0)</f>
        <v/>
      </c>
      <c r="F20" s="9">
        <f>E20</f>
        <v/>
      </c>
    </row>
    <row r="21">
      <c r="A21" s="14" t="inlineStr">
        <is>
          <t>IND.02</t>
        </is>
      </c>
      <c r="B21" s="15" t="inlineStr">
        <is>
          <t>Ferramentas de SCA escaneiam bibliotecas open-source no CI, identificando vulnerabilidades e bloqueando licenças não autorizadas.</t>
        </is>
      </c>
      <c r="C21" s="15" t="inlineStr">
        <is>
          <t>Construção e Impl.</t>
        </is>
      </c>
      <c r="D21" s="13" t="n">
        <v>4</v>
      </c>
      <c r="E21" s="6">
        <f>CHOOSE(D21+1, 0, 0.1, 0.3, 0.6, 1.0)</f>
        <v/>
      </c>
      <c r="F21" s="9">
        <f>E21</f>
        <v/>
      </c>
    </row>
    <row r="22">
      <c r="A22" s="11" t="inlineStr">
        <is>
          <t>VER.02</t>
        </is>
      </c>
      <c r="B22" s="12" t="inlineStr">
        <is>
          <t>Ferramentas de SAST (Análise Estática de Código) rodam automaticamente no pipeline de CI a cada Pull Request.</t>
        </is>
      </c>
      <c r="C22" s="12" t="inlineStr">
        <is>
          <t>Testes e Verificação</t>
        </is>
      </c>
      <c r="D22" s="13" t="n">
        <v>4</v>
      </c>
      <c r="E22" s="6">
        <f>CHOOSE(D22+1, 0, 0.1, 0.3, 0.6, 1.0)</f>
        <v/>
      </c>
      <c r="F22" s="9">
        <f>E22</f>
        <v/>
      </c>
    </row>
    <row r="23">
      <c r="A23" s="14" t="inlineStr">
        <is>
          <t>VER.03</t>
        </is>
      </c>
      <c r="B23" s="15" t="inlineStr">
        <is>
          <t>Ferramentas de varredura de segurança em imagens de contêineres/Docker rodam automaticamente no pipeline de CI.</t>
        </is>
      </c>
      <c r="C23" s="15" t="inlineStr">
        <is>
          <t>Testes e Verificação</t>
        </is>
      </c>
      <c r="D23" s="13" t="n">
        <v>4</v>
      </c>
      <c r="E23" s="6">
        <f>CHOOSE(D23+1, 0, 0.1, 0.3, 0.6, 1.0)</f>
        <v/>
      </c>
      <c r="F23" s="9">
        <f>E23</f>
        <v/>
      </c>
    </row>
    <row r="24">
      <c r="A24" s="11" t="inlineStr">
        <is>
          <t>VER.04</t>
        </is>
      </c>
      <c r="B24" s="12" t="inlineStr">
        <is>
          <t>Utilizamos Quality Gates no CI para bloquear automaticamente builds ou PRs que contenham vulnerabilidades graves.</t>
        </is>
      </c>
      <c r="C24" s="12" t="inlineStr">
        <is>
          <t>Testes e Verificação</t>
        </is>
      </c>
      <c r="D24" s="13" t="n">
        <v>3</v>
      </c>
      <c r="E24" s="6">
        <f>CHOOSE(D24+1, 0, 0.1, 0.3, 0.6, 1.0)</f>
        <v/>
      </c>
      <c r="F24" s="9">
        <f>E24</f>
        <v/>
      </c>
    </row>
    <row r="25">
      <c r="A25" s="14" t="inlineStr">
        <is>
          <t>ARQ.07</t>
        </is>
      </c>
      <c r="B25" s="15" t="inlineStr">
        <is>
          <t>Validamos a conformidade regulatória (ex: LGPD, PCI) de forma automatizada no pipeline de CD (Compliance as Code).</t>
        </is>
      </c>
      <c r="C25" s="15" t="inlineStr">
        <is>
          <t>Arquitetura e Design</t>
        </is>
      </c>
      <c r="D25" s="13" t="n">
        <v>3</v>
      </c>
      <c r="E25" s="6">
        <f>CHOOSE(D25+1, 0, 0.1, 0.3, 0.6, 1.0)</f>
        <v/>
      </c>
      <c r="F25" s="9">
        <f>E25</f>
        <v/>
      </c>
    </row>
    <row r="26">
      <c r="A26" s="11" t="inlineStr">
        <is>
          <t>ARQ.08</t>
        </is>
      </c>
      <c r="B26" s="12" t="inlineStr">
        <is>
          <t>Possuímos playbooks automatizados de resposta e contenção de incidentes de segurança integrados ao CD.</t>
        </is>
      </c>
      <c r="C26" s="12" t="inlineStr">
        <is>
          <t>Arquitetura e Design</t>
        </is>
      </c>
      <c r="D26" s="13" t="n">
        <v>4</v>
      </c>
      <c r="E26" s="6">
        <f>CHOOSE(D26+1, 0, 0.1, 0.3, 0.6, 1.0)</f>
        <v/>
      </c>
      <c r="F26" s="9">
        <f>E26</f>
        <v/>
      </c>
    </row>
    <row r="27">
      <c r="A27" s="14" t="inlineStr">
        <is>
          <t>IND.03</t>
        </is>
      </c>
      <c r="B27" s="15" t="inlineStr">
        <is>
          <t>Gerenciamos e injetamos credenciais e segredos dinamicamente em runtime através de cofres centralizados (Secrets Vaults).</t>
        </is>
      </c>
      <c r="C27" s="15" t="inlineStr">
        <is>
          <t>Construção e Impl.</t>
        </is>
      </c>
      <c r="D27" s="13" t="n">
        <v>4</v>
      </c>
      <c r="E27" s="6">
        <f>CHOOSE(D27+1, 0, 0.1, 0.3, 0.6, 1.0)</f>
        <v/>
      </c>
      <c r="F27" s="9">
        <f>E27</f>
        <v/>
      </c>
    </row>
    <row r="28">
      <c r="A28" s="11" t="inlineStr">
        <is>
          <t>IND.04</t>
        </is>
      </c>
      <c r="B28" s="12" t="inlineStr">
        <is>
          <t>Assinamos digitalmente artefatos de código, compilações e imagens de contêineres antes do deploy para garantir a integridade.</t>
        </is>
      </c>
      <c r="C28" s="12" t="inlineStr">
        <is>
          <t>Construção e Impl.</t>
        </is>
      </c>
      <c r="D28" s="13" t="n">
        <v>4</v>
      </c>
      <c r="E28" s="6">
        <f>CHOOSE(D28+1, 0, 0.1, 0.3, 0.6, 1.0)</f>
        <v/>
      </c>
      <c r="F28" s="9">
        <f>E28</f>
        <v/>
      </c>
    </row>
    <row r="29">
      <c r="A29" s="14" t="inlineStr">
        <is>
          <t>IND.05</t>
        </is>
      </c>
      <c r="B29" s="15" t="inlineStr">
        <is>
          <t>Analisamos estaticamente scripts de Infraestrutura como Código (IaC Scanning: Terraform/Ansible) no pipeline de integração.</t>
        </is>
      </c>
      <c r="C29" s="15" t="inlineStr">
        <is>
          <t>Construção e Impl.</t>
        </is>
      </c>
      <c r="D29" s="13" t="n">
        <v>4</v>
      </c>
      <c r="E29" s="6">
        <f>CHOOSE(D29+1, 0, 0.1, 0.3, 0.6, 1.0)</f>
        <v/>
      </c>
      <c r="F29" s="9">
        <f>E29</f>
        <v/>
      </c>
    </row>
    <row r="30">
      <c r="A30" s="11" t="inlineStr">
        <is>
          <t>IND.06</t>
        </is>
      </c>
      <c r="B30" s="12" t="inlineStr">
        <is>
          <t>Provisionamos ambientes e serviços utilizando exclusivamente imagens previamente homologadas e endurecidas (Golden Images).</t>
        </is>
      </c>
      <c r="C30" s="12" t="inlineStr">
        <is>
          <t>Construção e Impl.</t>
        </is>
      </c>
      <c r="D30" s="13" t="n">
        <v>4</v>
      </c>
      <c r="E30" s="6">
        <f>CHOOSE(D30+1, 0, 0.1, 0.3, 0.6, 1.0)</f>
        <v/>
      </c>
      <c r="F30" s="9">
        <f>E30</f>
        <v/>
      </c>
    </row>
    <row r="31">
      <c r="A31" s="14" t="inlineStr">
        <is>
          <t>VER.05</t>
        </is>
      </c>
      <c r="B31" s="15" t="inlineStr">
        <is>
          <t>Testes dinâmicos (DAST), análises de API e IAST rodam automaticamente contra a aplicação em ambiente de staging antes do deploy.</t>
        </is>
      </c>
      <c r="C31" s="15" t="inlineStr">
        <is>
          <t>Testes e Verificação</t>
        </is>
      </c>
      <c r="D31" s="13" t="n">
        <v>3</v>
      </c>
      <c r="E31" s="6">
        <f>CHOOSE(D31+1, 0, 0.1, 0.3, 0.6, 1.0)</f>
        <v/>
      </c>
      <c r="F31" s="9">
        <f>E31</f>
        <v/>
      </c>
    </row>
    <row r="32">
      <c r="A32" s="11" t="inlineStr">
        <is>
          <t>VER.06</t>
        </is>
      </c>
      <c r="B32" s="12" t="inlineStr">
        <is>
          <t>Utilizamos ferramentas de Gestão de Postura de Segurança em Nuvem (CSPM) para detectar desvios de configuração em tempo real.</t>
        </is>
      </c>
      <c r="C32" s="12" t="inlineStr">
        <is>
          <t>Testes e Verificação</t>
        </is>
      </c>
      <c r="D32" s="13" t="n">
        <v>3</v>
      </c>
      <c r="E32" s="6">
        <f>CHOOSE(D32+1, 0, 0.1, 0.3, 0.6, 1.0)</f>
        <v/>
      </c>
      <c r="F32" s="9">
        <f>E32</f>
        <v/>
      </c>
    </row>
    <row r="33">
      <c r="A33" s="14" t="inlineStr">
        <is>
          <t>VER.07</t>
        </is>
      </c>
      <c r="B33" s="15" t="inlineStr">
        <is>
          <t>Utilizamos inteligência de ameaças (ex: EPSS, CISA KEV) para priorizar a correção de vulnerabilidades com base na explorabilidade real.</t>
        </is>
      </c>
      <c r="C33" s="15" t="inlineStr">
        <is>
          <t>Testes e Verificação</t>
        </is>
      </c>
      <c r="D33" s="13" t="n">
        <v>4</v>
      </c>
      <c r="E33" s="6">
        <f>CHOOSE(D33+1, 0, 0.1, 0.3, 0.6, 1.0)</f>
        <v/>
      </c>
      <c r="F33" s="9">
        <f>E33</f>
        <v/>
      </c>
    </row>
    <row r="34">
      <c r="A34" s="11" t="inlineStr">
        <is>
          <t>OPE.01</t>
        </is>
      </c>
      <c r="B34" s="12" t="inlineStr">
        <is>
          <t>Centralizamos e correlacionamos logs de segurança de todas as aplicações e microsserviços em produção (SIEM / SOC).</t>
        </is>
      </c>
      <c r="C34" s="12" t="inlineStr">
        <is>
          <t>Operações e Obs.</t>
        </is>
      </c>
      <c r="D34" s="13" t="n">
        <v>4</v>
      </c>
      <c r="E34" s="6">
        <f>CHOOSE(D34+1, 0, 0.1, 0.3, 0.6, 1.0)</f>
        <v/>
      </c>
      <c r="F34" s="9">
        <f>E34</f>
        <v/>
      </c>
    </row>
    <row r="35">
      <c r="A35" s="14" t="inlineStr">
        <is>
          <t>OPE.02</t>
        </is>
      </c>
      <c r="B35" s="15" t="inlineStr">
        <is>
          <t>Protegemos as aplicações em produção com soluções de borda e runtime (WAF, API Gateways e Rate Limiting).</t>
        </is>
      </c>
      <c r="C35" s="15" t="inlineStr">
        <is>
          <t>Operações e Obs.</t>
        </is>
      </c>
      <c r="D35" s="13" t="n">
        <v>4</v>
      </c>
      <c r="E35" s="6">
        <f>CHOOSE(D35+1, 0, 0.1, 0.3, 0.6, 1.0)</f>
        <v/>
      </c>
      <c r="F35" s="9">
        <f>E35</f>
        <v/>
      </c>
    </row>
    <row r="36">
      <c r="A36" s="11" t="inlineStr">
        <is>
          <t>OPE.03</t>
        </is>
      </c>
      <c r="B36" s="12" t="inlineStr">
        <is>
          <t>Mantemos processos contínuos de aplicação de patches de segurança e testes periódicos de restauração de backups.</t>
        </is>
      </c>
      <c r="C36" s="12" t="inlineStr">
        <is>
          <t>Operações e Obs.</t>
        </is>
      </c>
      <c r="D36" s="13" t="n">
        <v>4</v>
      </c>
      <c r="E36" s="6">
        <f>CHOOSE(D36+1, 0, 0.1, 0.3, 0.6, 1.0)</f>
        <v/>
      </c>
      <c r="F36" s="9">
        <f>E36</f>
        <v/>
      </c>
    </row>
    <row r="37">
      <c r="A37" s="14" t="inlineStr">
        <is>
          <t>OPE.04</t>
        </is>
      </c>
      <c r="B37" s="15" t="inlineStr">
        <is>
          <t>Executamos varreduras periódicas agendadas de SAST e SCA no repositório de produção para detectar novas CVEs em código antigo.</t>
        </is>
      </c>
      <c r="C37" s="15" t="inlineStr">
        <is>
          <t>Operações e Obs.</t>
        </is>
      </c>
      <c r="D37" s="13" t="n">
        <v>4</v>
      </c>
      <c r="E37" s="6">
        <f>CHOOSE(D37+1, 0, 0.1, 0.3, 0.6, 1.0)</f>
        <v/>
      </c>
      <c r="F37" s="9">
        <f>E37</f>
        <v/>
      </c>
    </row>
    <row r="38">
      <c r="A38" s="11" t="inlineStr">
        <is>
          <t>GOV.03</t>
        </is>
      </c>
      <c r="B38" s="12" t="inlineStr">
        <is>
          <t>Oferecemos treinamentos avançados de segurança técnica focados nas tecnologias e frameworks específicos da empresa.</t>
        </is>
      </c>
      <c r="C38" s="12" t="inlineStr">
        <is>
          <t>Governança</t>
        </is>
      </c>
      <c r="D38" s="13" t="n">
        <v>3</v>
      </c>
      <c r="E38" s="6">
        <f>CHOOSE(D38+1, 0, 0.1, 0.3, 0.6, 1.0)</f>
        <v/>
      </c>
      <c r="F38" s="9">
        <f>E38</f>
        <v/>
      </c>
    </row>
    <row r="39">
      <c r="A39" s="14" t="inlineStr">
        <is>
          <t>GOV.04</t>
        </is>
      </c>
      <c r="B39" s="15" t="inlineStr">
        <is>
          <t>Atualizamos continuamente as diretrizes e controles de AppSec com base nas lições aprendidas de incidentes passados.</t>
        </is>
      </c>
      <c r="C39" s="15" t="inlineStr">
        <is>
          <t>Governança</t>
        </is>
      </c>
      <c r="D39" s="13" t="n">
        <v>4</v>
      </c>
      <c r="E39" s="6">
        <f>CHOOSE(D39+1, 0, 0.1, 0.3, 0.6, 1.0)</f>
        <v/>
      </c>
      <c r="F39" s="9">
        <f>E39</f>
        <v/>
      </c>
    </row>
    <row r="40">
      <c r="A40" s="11" t="inlineStr">
        <is>
          <t>OPE.05</t>
        </is>
      </c>
      <c r="B40" s="12" t="inlineStr">
        <is>
          <t>Possuímos observabilidade e monitoramento de ataques e anomalias em tempo real no ambiente de produção.</t>
        </is>
      </c>
      <c r="C40" s="12" t="inlineStr">
        <is>
          <t>Operações e Obs.</t>
        </is>
      </c>
      <c r="D40" s="13" t="n">
        <v>3</v>
      </c>
      <c r="E40" s="6">
        <f>CHOOSE(D40+1, 0, 0.1, 0.3, 0.6, 1.0)</f>
        <v/>
      </c>
      <c r="F40" s="9">
        <f>E40</f>
        <v/>
      </c>
    </row>
    <row r="41">
      <c r="A41" s="14" t="inlineStr">
        <is>
          <t>OPE.06</t>
        </is>
      </c>
      <c r="B41" s="15" t="inlineStr">
        <is>
          <t>Executamos experimentos de Engenharia do Caos voltados à segurança (Security Chaos Engineering) ou mantemos programas de Bug Bounty.</t>
        </is>
      </c>
      <c r="C41" s="15" t="inlineStr">
        <is>
          <t>Operações e Obs.</t>
        </is>
      </c>
      <c r="D41" s="13" t="n">
        <v>3</v>
      </c>
      <c r="E41" s="6">
        <f>CHOOSE(D41+1, 0, 0.1, 0.3, 0.6, 1.0)</f>
        <v/>
      </c>
      <c r="F41" s="9">
        <f>E41</f>
        <v/>
      </c>
    </row>
    <row r="42">
      <c r="A42" s="11" t="inlineStr">
        <is>
          <t>OPE.07</t>
        </is>
      </c>
      <c r="B42" s="12" t="inlineStr">
        <is>
          <t>Realizamos análise forense e pós-mortem após incidentes para retroalimentar novos requisitos de segurança.</t>
        </is>
      </c>
      <c r="C42" s="12" t="inlineStr">
        <is>
          <t>Operações e Obs.</t>
        </is>
      </c>
      <c r="D42" s="13" t="n">
        <v>4</v>
      </c>
      <c r="E42" s="6">
        <f>CHOOSE(D42+1, 0, 0.1, 0.3, 0.6, 1.0)</f>
        <v/>
      </c>
      <c r="F42" s="9">
        <f>E42</f>
        <v/>
      </c>
    </row>
    <row r="43">
      <c r="A43" s="14" t="inlineStr">
        <is>
          <t>OPE.08</t>
        </is>
      </c>
      <c r="B43" s="15" t="inlineStr">
        <is>
          <t>Utilizamos estratégias de implantação segura (Canary Deployments / Blue-Green) com rollback automático em caso de falha de segurança.</t>
        </is>
      </c>
      <c r="C43" s="15" t="inlineStr">
        <is>
          <t>Operações e Obs.</t>
        </is>
      </c>
      <c r="D43" s="13" t="n">
        <v>4</v>
      </c>
      <c r="E43" s="6">
        <f>CHOOSE(D43+1, 0, 0.1, 0.3, 0.6, 1.0)</f>
        <v/>
      </c>
      <c r="F43" s="9">
        <f>E43</f>
        <v/>
      </c>
    </row>
    <row r="44">
      <c r="A44" s="7" t="inlineStr">
        <is>
          <t>MÉDIA GLOBAL DA SQUAD</t>
        </is>
      </c>
      <c r="B44" s="16" t="inlineStr"/>
      <c r="C44" s="16" t="inlineStr"/>
      <c r="D44" s="17">
        <f>AVERAGE(D4:D43)</f>
        <v/>
      </c>
      <c r="E44" s="8">
        <f>AVERAGE(E4:E43)</f>
        <v/>
      </c>
      <c r="F44" s="10">
        <f>E44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2026-09-23T22:21:32Z</dcterms:created>
  <dcterms:modified xmlns:dcterms="http://purl.org/dc/terms/" xmlns:xsi="http://www.w3.org/2001/XMLSchema-instance" xsi:type="dcterms:W3CDTF">2026-09-23T22:21:32Z</dcterms:modified>
</cp:coreProperties>
</file>